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Luis\Desktop\"/>
    </mc:Choice>
  </mc:AlternateContent>
  <xr:revisionPtr revIDLastSave="0" documentId="13_ncr:1_{C3BF40AC-F943-4CDE-9FCF-E8A61AF926A1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4" i="1" l="1"/>
  <c r="G60" i="1"/>
  <c r="H55" i="1"/>
  <c r="H54" i="1"/>
  <c r="H53" i="1"/>
  <c r="D60" i="1"/>
  <c r="E55" i="1"/>
  <c r="E54" i="1"/>
  <c r="C54" i="1"/>
  <c r="E53" i="1"/>
  <c r="J30" i="1"/>
  <c r="D45" i="1"/>
  <c r="E45" i="1"/>
  <c r="F45" i="1"/>
  <c r="G45" i="1"/>
  <c r="C45" i="1"/>
  <c r="B45" i="1"/>
  <c r="B53" i="1" s="1"/>
  <c r="K26" i="1"/>
  <c r="L26" i="1"/>
  <c r="M26" i="1"/>
  <c r="N26" i="1"/>
  <c r="O26" i="1"/>
  <c r="K27" i="1"/>
  <c r="L27" i="1"/>
  <c r="M27" i="1"/>
  <c r="N27" i="1"/>
  <c r="O27" i="1"/>
  <c r="K28" i="1"/>
  <c r="L28" i="1"/>
  <c r="M28" i="1"/>
  <c r="N28" i="1"/>
  <c r="O28" i="1"/>
  <c r="K29" i="1"/>
  <c r="L29" i="1"/>
  <c r="M29" i="1"/>
  <c r="N29" i="1"/>
  <c r="O29" i="1"/>
  <c r="K30" i="1"/>
  <c r="L30" i="1"/>
  <c r="M30" i="1"/>
  <c r="N30" i="1"/>
  <c r="O30" i="1"/>
  <c r="K31" i="1"/>
  <c r="L31" i="1"/>
  <c r="M31" i="1"/>
  <c r="N31" i="1"/>
  <c r="O31" i="1"/>
  <c r="K32" i="1"/>
  <c r="L32" i="1"/>
  <c r="M32" i="1"/>
  <c r="N32" i="1"/>
  <c r="O32" i="1"/>
  <c r="K33" i="1"/>
  <c r="L33" i="1"/>
  <c r="M33" i="1"/>
  <c r="N33" i="1"/>
  <c r="O33" i="1"/>
  <c r="K34" i="1"/>
  <c r="L34" i="1"/>
  <c r="M34" i="1"/>
  <c r="N34" i="1"/>
  <c r="O34" i="1"/>
  <c r="K35" i="1"/>
  <c r="L35" i="1"/>
  <c r="M35" i="1"/>
  <c r="N35" i="1"/>
  <c r="O35" i="1"/>
  <c r="K36" i="1"/>
  <c r="L36" i="1"/>
  <c r="M36" i="1"/>
  <c r="N36" i="1"/>
  <c r="O36" i="1"/>
  <c r="K37" i="1"/>
  <c r="L37" i="1"/>
  <c r="M37" i="1"/>
  <c r="N37" i="1"/>
  <c r="O37" i="1"/>
  <c r="K38" i="1"/>
  <c r="L38" i="1"/>
  <c r="M38" i="1"/>
  <c r="N38" i="1"/>
  <c r="O38" i="1"/>
  <c r="K39" i="1"/>
  <c r="L39" i="1"/>
  <c r="M39" i="1"/>
  <c r="N39" i="1"/>
  <c r="O39" i="1"/>
  <c r="K40" i="1"/>
  <c r="L40" i="1"/>
  <c r="M40" i="1"/>
  <c r="N40" i="1"/>
  <c r="O40" i="1"/>
  <c r="K41" i="1"/>
  <c r="L41" i="1"/>
  <c r="M41" i="1"/>
  <c r="N41" i="1"/>
  <c r="O41" i="1"/>
  <c r="K42" i="1"/>
  <c r="L42" i="1"/>
  <c r="M42" i="1"/>
  <c r="N42" i="1"/>
  <c r="O42" i="1"/>
  <c r="K43" i="1"/>
  <c r="L43" i="1"/>
  <c r="M43" i="1"/>
  <c r="N43" i="1"/>
  <c r="O43" i="1"/>
  <c r="K44" i="1"/>
  <c r="L44" i="1"/>
  <c r="M44" i="1"/>
  <c r="N44" i="1"/>
  <c r="O44" i="1"/>
  <c r="L25" i="1"/>
  <c r="M25" i="1"/>
  <c r="N25" i="1"/>
  <c r="O25" i="1"/>
  <c r="K25" i="1"/>
  <c r="J26" i="1"/>
  <c r="J27" i="1"/>
  <c r="J28" i="1"/>
  <c r="J29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25" i="1"/>
  <c r="L24" i="1"/>
  <c r="M24" i="1"/>
  <c r="N24" i="1"/>
  <c r="O24" i="1"/>
  <c r="K24" i="1"/>
  <c r="J24" i="1"/>
  <c r="B55" i="1" l="1"/>
  <c r="A6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</author>
  </authors>
  <commentList>
    <comment ref="J54" authorId="0" shapeId="0" xr:uid="{2F7E4BF6-2738-40DC-9DAC-0AC8C04B5A60}">
      <text>
        <r>
          <rPr>
            <b/>
            <sz val="9"/>
            <color indexed="81"/>
            <rFont val="Tahoma"/>
            <family val="2"/>
          </rPr>
          <t>Luis:</t>
        </r>
        <r>
          <rPr>
            <sz val="9"/>
            <color indexed="81"/>
            <rFont val="Tahoma"/>
            <family val="2"/>
          </rPr>
          <t xml:space="preserve">
si bien la fx 'scale'   
al dato lo resta su media de todos los datos y lo divide entre la desviacion estandar de todos los datos me deberia coincidir.</t>
        </r>
      </text>
    </comment>
  </commentList>
</comments>
</file>

<file path=xl/sharedStrings.xml><?xml version="1.0" encoding="utf-8"?>
<sst xmlns="http://schemas.openxmlformats.org/spreadsheetml/2006/main" count="30" uniqueCount="19">
  <si>
    <t>divertid</t>
  </si>
  <si>
    <t>presupu</t>
  </si>
  <si>
    <t>aprovech</t>
  </si>
  <si>
    <t>buenacom</t>
  </si>
  <si>
    <t>noimport</t>
  </si>
  <si>
    <t>ahorro</t>
  </si>
  <si>
    <t>media</t>
  </si>
  <si>
    <t>desviacion</t>
  </si>
  <si>
    <t>variancia</t>
  </si>
  <si>
    <t>muestra</t>
  </si>
  <si>
    <t>dato</t>
  </si>
  <si>
    <t>matrix distancia</t>
  </si>
  <si>
    <t>con la funcion 'scale'</t>
  </si>
  <si>
    <t>ANALISIS CLUSTER</t>
  </si>
  <si>
    <t>datosc</t>
  </si>
  <si>
    <t>data</t>
  </si>
  <si>
    <t>columna divertido</t>
  </si>
  <si>
    <t>columna presupuesto</t>
  </si>
  <si>
    <t>var.s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</si>
</sst>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3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0" fillId="5" borderId="0" xfId="0" applyFill="1"/>
    <xf numFmtId="0" fontId="0" fillId="3" borderId="0" xfId="0" applyFill="1" applyAlignment="1">
      <alignment horizontal="center"/>
    </xf>
    <xf numFmtId="0" fontId="1" fillId="0" borderId="0" xfId="0" applyFont="1"/>
    <xf numFmtId="0" fontId="0" fillId="6" borderId="0" xfId="0" applyFill="1"/>
    <xf numFmtId="0" fontId="1" fillId="7" borderId="0" xfId="0" applyFont="1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10</xdr:row>
      <xdr:rowOff>76200</xdr:rowOff>
    </xdr:from>
    <xdr:to>
      <xdr:col>8</xdr:col>
      <xdr:colOff>0</xdr:colOff>
      <xdr:row>21</xdr:row>
      <xdr:rowOff>143177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7FBF7F94-AFBC-4A91-8141-9DE08901E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1981200"/>
          <a:ext cx="5324475" cy="2162477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</xdr:colOff>
      <xdr:row>55</xdr:row>
      <xdr:rowOff>0</xdr:rowOff>
    </xdr:from>
    <xdr:to>
      <xdr:col>17</xdr:col>
      <xdr:colOff>19901</xdr:colOff>
      <xdr:row>73</xdr:row>
      <xdr:rowOff>171953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E6C8F32-07B7-42DE-BF74-C361F1DBD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5050" y="9144000"/>
          <a:ext cx="6096851" cy="3600953"/>
        </a:xfrm>
        <a:prstGeom prst="rect">
          <a:avLst/>
        </a:prstGeom>
      </xdr:spPr>
    </xdr:pic>
    <xdr:clientData/>
  </xdr:twoCellAnchor>
  <xdr:twoCellAnchor>
    <xdr:from>
      <xdr:col>9</xdr:col>
      <xdr:colOff>304800</xdr:colOff>
      <xdr:row>55</xdr:row>
      <xdr:rowOff>152400</xdr:rowOff>
    </xdr:from>
    <xdr:to>
      <xdr:col>10</xdr:col>
      <xdr:colOff>485775</xdr:colOff>
      <xdr:row>56</xdr:row>
      <xdr:rowOff>133350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D8F87084-E60C-4D81-956E-40703C0515D3}"/>
            </a:ext>
          </a:extLst>
        </xdr:cNvPr>
        <xdr:cNvSpPr/>
      </xdr:nvSpPr>
      <xdr:spPr>
        <a:xfrm>
          <a:off x="6400800" y="9296400"/>
          <a:ext cx="942975" cy="171450"/>
        </a:xfrm>
        <a:prstGeom prst="rect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</xdr:col>
      <xdr:colOff>28575</xdr:colOff>
      <xdr:row>56</xdr:row>
      <xdr:rowOff>28575</xdr:rowOff>
    </xdr:from>
    <xdr:to>
      <xdr:col>9</xdr:col>
      <xdr:colOff>352425</xdr:colOff>
      <xdr:row>59</xdr:row>
      <xdr:rowOff>95250</xdr:rowOff>
    </xdr:to>
    <xdr:cxnSp macro="">
      <xdr:nvCxnSpPr>
        <xdr:cNvPr id="13" name="Conector recto de flecha 12">
          <a:extLst>
            <a:ext uri="{FF2B5EF4-FFF2-40B4-BE49-F238E27FC236}">
              <a16:creationId xmlns:a16="http://schemas.microsoft.com/office/drawing/2014/main" id="{19D5CD2E-E91E-403A-BC07-E1E85EE88BD0}"/>
            </a:ext>
          </a:extLst>
        </xdr:cNvPr>
        <xdr:cNvCxnSpPr/>
      </xdr:nvCxnSpPr>
      <xdr:spPr>
        <a:xfrm flipH="1">
          <a:off x="790575" y="10696575"/>
          <a:ext cx="6419850" cy="6381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723900</xdr:colOff>
      <xdr:row>17</xdr:row>
      <xdr:rowOff>142875</xdr:rowOff>
    </xdr:from>
    <xdr:to>
      <xdr:col>8</xdr:col>
      <xdr:colOff>9525</xdr:colOff>
      <xdr:row>21</xdr:row>
      <xdr:rowOff>76200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F54CFFC0-5C29-48AE-8784-A5077C0ABD81}"/>
            </a:ext>
          </a:extLst>
        </xdr:cNvPr>
        <xdr:cNvSpPr/>
      </xdr:nvSpPr>
      <xdr:spPr>
        <a:xfrm>
          <a:off x="723900" y="3381375"/>
          <a:ext cx="5381625" cy="6953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9525</xdr:colOff>
      <xdr:row>56</xdr:row>
      <xdr:rowOff>123825</xdr:rowOff>
    </xdr:from>
    <xdr:to>
      <xdr:col>10</xdr:col>
      <xdr:colOff>676275</xdr:colOff>
      <xdr:row>59</xdr:row>
      <xdr:rowOff>57150</xdr:rowOff>
    </xdr:to>
    <xdr:cxnSp macro="">
      <xdr:nvCxnSpPr>
        <xdr:cNvPr id="21" name="Conector recto de flecha 20">
          <a:extLst>
            <a:ext uri="{FF2B5EF4-FFF2-40B4-BE49-F238E27FC236}">
              <a16:creationId xmlns:a16="http://schemas.microsoft.com/office/drawing/2014/main" id="{63F67829-989E-4C62-A1EC-1CD6D3CEBFD9}"/>
            </a:ext>
          </a:extLst>
        </xdr:cNvPr>
        <xdr:cNvCxnSpPr/>
      </xdr:nvCxnSpPr>
      <xdr:spPr>
        <a:xfrm flipH="1">
          <a:off x="3057525" y="10791825"/>
          <a:ext cx="5238750" cy="5048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619125</xdr:colOff>
      <xdr:row>55</xdr:row>
      <xdr:rowOff>161925</xdr:rowOff>
    </xdr:from>
    <xdr:to>
      <xdr:col>12</xdr:col>
      <xdr:colOff>38100</xdr:colOff>
      <xdr:row>56</xdr:row>
      <xdr:rowOff>142875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AD27FD-2668-4458-B998-3F535415304A}"/>
            </a:ext>
          </a:extLst>
        </xdr:cNvPr>
        <xdr:cNvSpPr/>
      </xdr:nvSpPr>
      <xdr:spPr>
        <a:xfrm>
          <a:off x="8239125" y="10639425"/>
          <a:ext cx="942975" cy="171450"/>
        </a:xfrm>
        <a:prstGeom prst="rect">
          <a:avLst/>
        </a:prstGeom>
        <a:noFill/>
        <a:ln w="9525"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12</xdr:col>
      <xdr:colOff>0</xdr:colOff>
      <xdr:row>55</xdr:row>
      <xdr:rowOff>161925</xdr:rowOff>
    </xdr:from>
    <xdr:to>
      <xdr:col>13</xdr:col>
      <xdr:colOff>180975</xdr:colOff>
      <xdr:row>56</xdr:row>
      <xdr:rowOff>142875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69391A08-54A9-40BC-8C5E-45CFF1793EDD}"/>
            </a:ext>
          </a:extLst>
        </xdr:cNvPr>
        <xdr:cNvSpPr/>
      </xdr:nvSpPr>
      <xdr:spPr>
        <a:xfrm>
          <a:off x="9144000" y="10639425"/>
          <a:ext cx="942975" cy="171450"/>
        </a:xfrm>
        <a:prstGeom prst="rect">
          <a:avLst/>
        </a:prstGeom>
        <a:noFill/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7</xdr:col>
      <xdr:colOff>28575</xdr:colOff>
      <xdr:row>56</xdr:row>
      <xdr:rowOff>142875</xdr:rowOff>
    </xdr:from>
    <xdr:to>
      <xdr:col>12</xdr:col>
      <xdr:colOff>47625</xdr:colOff>
      <xdr:row>59</xdr:row>
      <xdr:rowOff>66675</xdr:rowOff>
    </xdr:to>
    <xdr:cxnSp macro="">
      <xdr:nvCxnSpPr>
        <xdr:cNvPr id="25" name="Conector recto de flecha 24">
          <a:extLst>
            <a:ext uri="{FF2B5EF4-FFF2-40B4-BE49-F238E27FC236}">
              <a16:creationId xmlns:a16="http://schemas.microsoft.com/office/drawing/2014/main" id="{81B863A7-66DA-43D2-9F03-CD8B51F82A0F}"/>
            </a:ext>
          </a:extLst>
        </xdr:cNvPr>
        <xdr:cNvCxnSpPr/>
      </xdr:nvCxnSpPr>
      <xdr:spPr>
        <a:xfrm flipH="1">
          <a:off x="5362575" y="10810875"/>
          <a:ext cx="3829050" cy="495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Q60"/>
  <sheetViews>
    <sheetView tabSelected="1" topLeftCell="A17" workbookViewId="0">
      <selection activeCell="M51" sqref="M51"/>
    </sheetView>
  </sheetViews>
  <sheetFormatPr baseColWidth="10" defaultRowHeight="15" x14ac:dyDescent="0.25"/>
  <sheetData>
    <row r="5" spans="2:12" x14ac:dyDescent="0.25">
      <c r="C5" s="5" t="s">
        <v>13</v>
      </c>
      <c r="D5" s="5"/>
      <c r="E5" s="5"/>
      <c r="F5" s="5"/>
      <c r="G5" s="5"/>
      <c r="H5" s="5"/>
      <c r="I5" s="5"/>
      <c r="J5" s="5"/>
      <c r="K5" s="5"/>
      <c r="L5" s="5"/>
    </row>
    <row r="6" spans="2:12" x14ac:dyDescent="0.25">
      <c r="C6" s="5"/>
      <c r="D6" s="5"/>
      <c r="E6" s="5"/>
      <c r="F6" s="5"/>
      <c r="G6" s="5"/>
      <c r="H6" s="5"/>
      <c r="I6" s="5"/>
      <c r="J6" s="5"/>
      <c r="K6" s="5"/>
      <c r="L6" s="5"/>
    </row>
    <row r="7" spans="2:12" x14ac:dyDescent="0.25">
      <c r="C7" s="5"/>
      <c r="D7" s="5"/>
      <c r="E7" s="5"/>
      <c r="F7" s="5"/>
      <c r="G7" s="5"/>
      <c r="H7" s="5"/>
      <c r="I7" s="5"/>
      <c r="J7" s="5"/>
      <c r="K7" s="5"/>
      <c r="L7" s="5"/>
    </row>
    <row r="9" spans="2:12" x14ac:dyDescent="0.25">
      <c r="B9" s="2" t="s">
        <v>15</v>
      </c>
      <c r="C9" s="2"/>
      <c r="D9" s="2"/>
      <c r="F9" s="7" t="s">
        <v>14</v>
      </c>
      <c r="G9" s="7"/>
    </row>
    <row r="23" spans="2:15" x14ac:dyDescent="0.25">
      <c r="B23" t="s">
        <v>0</v>
      </c>
      <c r="C23" t="s">
        <v>1</v>
      </c>
      <c r="D23" t="s">
        <v>2</v>
      </c>
      <c r="E23" t="s">
        <v>3</v>
      </c>
      <c r="F23" t="s">
        <v>4</v>
      </c>
      <c r="G23" t="s">
        <v>5</v>
      </c>
    </row>
    <row r="24" spans="2:15" x14ac:dyDescent="0.25">
      <c r="B24" s="1">
        <v>6</v>
      </c>
      <c r="C24" s="6">
        <v>4</v>
      </c>
      <c r="D24" s="9">
        <v>7</v>
      </c>
      <c r="E24">
        <v>3</v>
      </c>
      <c r="F24">
        <v>2</v>
      </c>
      <c r="G24">
        <v>3</v>
      </c>
      <c r="J24">
        <f>B24^2</f>
        <v>36</v>
      </c>
      <c r="K24">
        <f>C24^2</f>
        <v>16</v>
      </c>
      <c r="L24">
        <f t="shared" ref="L24:O25" si="0">D24^2</f>
        <v>49</v>
      </c>
      <c r="M24">
        <f t="shared" si="0"/>
        <v>9</v>
      </c>
      <c r="N24">
        <f t="shared" si="0"/>
        <v>4</v>
      </c>
      <c r="O24">
        <f t="shared" si="0"/>
        <v>9</v>
      </c>
    </row>
    <row r="25" spans="2:15" x14ac:dyDescent="0.25">
      <c r="B25">
        <v>2</v>
      </c>
      <c r="C25">
        <v>3</v>
      </c>
      <c r="D25">
        <v>1</v>
      </c>
      <c r="E25">
        <v>4</v>
      </c>
      <c r="F25">
        <v>5</v>
      </c>
      <c r="G25">
        <v>4</v>
      </c>
      <c r="J25">
        <f>B25^2</f>
        <v>4</v>
      </c>
      <c r="K25">
        <f>C25^2</f>
        <v>9</v>
      </c>
      <c r="L25">
        <f t="shared" si="0"/>
        <v>1</v>
      </c>
      <c r="M25">
        <f t="shared" si="0"/>
        <v>16</v>
      </c>
      <c r="N25">
        <f t="shared" si="0"/>
        <v>25</v>
      </c>
      <c r="O25">
        <f t="shared" si="0"/>
        <v>16</v>
      </c>
    </row>
    <row r="26" spans="2:15" x14ac:dyDescent="0.25">
      <c r="B26">
        <v>7</v>
      </c>
      <c r="C26">
        <v>2</v>
      </c>
      <c r="D26">
        <v>6</v>
      </c>
      <c r="E26">
        <v>4</v>
      </c>
      <c r="F26">
        <v>1</v>
      </c>
      <c r="G26">
        <v>3</v>
      </c>
      <c r="J26">
        <f t="shared" ref="J26:J44" si="1">B26^2</f>
        <v>49</v>
      </c>
      <c r="K26">
        <f t="shared" ref="K26:K44" si="2">C26^2</f>
        <v>4</v>
      </c>
      <c r="L26">
        <f t="shared" ref="L26:L44" si="3">D26^2</f>
        <v>36</v>
      </c>
      <c r="M26">
        <f t="shared" ref="M26:M44" si="4">E26^2</f>
        <v>16</v>
      </c>
      <c r="N26">
        <f t="shared" ref="N26:N44" si="5">F26^2</f>
        <v>1</v>
      </c>
      <c r="O26">
        <f t="shared" ref="O26:O44" si="6">G26^2</f>
        <v>9</v>
      </c>
    </row>
    <row r="27" spans="2:15" x14ac:dyDescent="0.25">
      <c r="B27">
        <v>4</v>
      </c>
      <c r="C27">
        <v>6</v>
      </c>
      <c r="D27">
        <v>4</v>
      </c>
      <c r="E27">
        <v>5</v>
      </c>
      <c r="F27">
        <v>3</v>
      </c>
      <c r="G27">
        <v>6</v>
      </c>
      <c r="J27">
        <f t="shared" si="1"/>
        <v>16</v>
      </c>
      <c r="K27">
        <f t="shared" si="2"/>
        <v>36</v>
      </c>
      <c r="L27">
        <f t="shared" si="3"/>
        <v>16</v>
      </c>
      <c r="M27">
        <f t="shared" si="4"/>
        <v>25</v>
      </c>
      <c r="N27">
        <f t="shared" si="5"/>
        <v>9</v>
      </c>
      <c r="O27">
        <f t="shared" si="6"/>
        <v>36</v>
      </c>
    </row>
    <row r="28" spans="2:15" x14ac:dyDescent="0.25">
      <c r="B28">
        <v>1</v>
      </c>
      <c r="C28">
        <v>3</v>
      </c>
      <c r="D28">
        <v>2</v>
      </c>
      <c r="E28">
        <v>2</v>
      </c>
      <c r="F28">
        <v>6</v>
      </c>
      <c r="G28">
        <v>4</v>
      </c>
      <c r="J28">
        <f t="shared" si="1"/>
        <v>1</v>
      </c>
      <c r="K28">
        <f t="shared" si="2"/>
        <v>9</v>
      </c>
      <c r="L28">
        <f t="shared" si="3"/>
        <v>4</v>
      </c>
      <c r="M28">
        <f t="shared" si="4"/>
        <v>4</v>
      </c>
      <c r="N28">
        <f t="shared" si="5"/>
        <v>36</v>
      </c>
      <c r="O28">
        <f t="shared" si="6"/>
        <v>16</v>
      </c>
    </row>
    <row r="29" spans="2:15" x14ac:dyDescent="0.25">
      <c r="B29">
        <v>6</v>
      </c>
      <c r="C29">
        <v>4</v>
      </c>
      <c r="D29">
        <v>6</v>
      </c>
      <c r="E29">
        <v>3</v>
      </c>
      <c r="F29">
        <v>3</v>
      </c>
      <c r="G29">
        <v>4</v>
      </c>
      <c r="J29">
        <f t="shared" si="1"/>
        <v>36</v>
      </c>
      <c r="K29">
        <f t="shared" si="2"/>
        <v>16</v>
      </c>
      <c r="L29">
        <f t="shared" si="3"/>
        <v>36</v>
      </c>
      <c r="M29">
        <f t="shared" si="4"/>
        <v>9</v>
      </c>
      <c r="N29">
        <f t="shared" si="5"/>
        <v>9</v>
      </c>
      <c r="O29">
        <f t="shared" si="6"/>
        <v>16</v>
      </c>
    </row>
    <row r="30" spans="2:15" x14ac:dyDescent="0.25">
      <c r="B30">
        <v>5</v>
      </c>
      <c r="C30">
        <v>3</v>
      </c>
      <c r="D30">
        <v>6</v>
      </c>
      <c r="E30">
        <v>3</v>
      </c>
      <c r="F30">
        <v>3</v>
      </c>
      <c r="G30">
        <v>4</v>
      </c>
      <c r="J30">
        <f>B30^2</f>
        <v>25</v>
      </c>
      <c r="K30">
        <f t="shared" si="2"/>
        <v>9</v>
      </c>
      <c r="L30">
        <f t="shared" si="3"/>
        <v>36</v>
      </c>
      <c r="M30">
        <f t="shared" si="4"/>
        <v>9</v>
      </c>
      <c r="N30">
        <f t="shared" si="5"/>
        <v>9</v>
      </c>
      <c r="O30">
        <f t="shared" si="6"/>
        <v>16</v>
      </c>
    </row>
    <row r="31" spans="2:15" x14ac:dyDescent="0.25">
      <c r="B31">
        <v>7</v>
      </c>
      <c r="C31">
        <v>3</v>
      </c>
      <c r="D31">
        <v>7</v>
      </c>
      <c r="E31">
        <v>4</v>
      </c>
      <c r="F31">
        <v>1</v>
      </c>
      <c r="G31">
        <v>4</v>
      </c>
      <c r="J31">
        <f t="shared" si="1"/>
        <v>49</v>
      </c>
      <c r="K31">
        <f t="shared" si="2"/>
        <v>9</v>
      </c>
      <c r="L31">
        <f t="shared" si="3"/>
        <v>49</v>
      </c>
      <c r="M31">
        <f t="shared" si="4"/>
        <v>16</v>
      </c>
      <c r="N31">
        <f t="shared" si="5"/>
        <v>1</v>
      </c>
      <c r="O31">
        <f t="shared" si="6"/>
        <v>16</v>
      </c>
    </row>
    <row r="32" spans="2:15" x14ac:dyDescent="0.25">
      <c r="B32">
        <v>2</v>
      </c>
      <c r="C32">
        <v>4</v>
      </c>
      <c r="D32">
        <v>3</v>
      </c>
      <c r="E32">
        <v>3</v>
      </c>
      <c r="F32">
        <v>6</v>
      </c>
      <c r="G32">
        <v>3</v>
      </c>
      <c r="J32">
        <f t="shared" si="1"/>
        <v>4</v>
      </c>
      <c r="K32">
        <f t="shared" si="2"/>
        <v>16</v>
      </c>
      <c r="L32">
        <f t="shared" si="3"/>
        <v>9</v>
      </c>
      <c r="M32">
        <f t="shared" si="4"/>
        <v>9</v>
      </c>
      <c r="N32">
        <f t="shared" si="5"/>
        <v>36</v>
      </c>
      <c r="O32">
        <f t="shared" si="6"/>
        <v>9</v>
      </c>
    </row>
    <row r="33" spans="2:15" x14ac:dyDescent="0.25">
      <c r="B33">
        <v>3</v>
      </c>
      <c r="C33">
        <v>3</v>
      </c>
      <c r="D33">
        <v>3</v>
      </c>
      <c r="E33">
        <v>6</v>
      </c>
      <c r="F33">
        <v>4</v>
      </c>
      <c r="G33">
        <v>6</v>
      </c>
      <c r="J33">
        <f t="shared" si="1"/>
        <v>9</v>
      </c>
      <c r="K33">
        <f t="shared" si="2"/>
        <v>9</v>
      </c>
      <c r="L33">
        <f t="shared" si="3"/>
        <v>9</v>
      </c>
      <c r="M33">
        <f t="shared" si="4"/>
        <v>36</v>
      </c>
      <c r="N33">
        <f t="shared" si="5"/>
        <v>16</v>
      </c>
      <c r="O33">
        <f t="shared" si="6"/>
        <v>36</v>
      </c>
    </row>
    <row r="34" spans="2:15" x14ac:dyDescent="0.25">
      <c r="B34">
        <v>1</v>
      </c>
      <c r="C34">
        <v>3</v>
      </c>
      <c r="D34">
        <v>2</v>
      </c>
      <c r="E34">
        <v>3</v>
      </c>
      <c r="F34">
        <v>5</v>
      </c>
      <c r="G34">
        <v>3</v>
      </c>
      <c r="J34">
        <f t="shared" si="1"/>
        <v>1</v>
      </c>
      <c r="K34">
        <f t="shared" si="2"/>
        <v>9</v>
      </c>
      <c r="L34">
        <f t="shared" si="3"/>
        <v>4</v>
      </c>
      <c r="M34">
        <f t="shared" si="4"/>
        <v>9</v>
      </c>
      <c r="N34">
        <f t="shared" si="5"/>
        <v>25</v>
      </c>
      <c r="O34">
        <f t="shared" si="6"/>
        <v>9</v>
      </c>
    </row>
    <row r="35" spans="2:15" x14ac:dyDescent="0.25">
      <c r="B35">
        <v>5</v>
      </c>
      <c r="C35">
        <v>4</v>
      </c>
      <c r="D35">
        <v>5</v>
      </c>
      <c r="E35">
        <v>4</v>
      </c>
      <c r="F35">
        <v>2</v>
      </c>
      <c r="G35">
        <v>4</v>
      </c>
      <c r="J35">
        <f t="shared" si="1"/>
        <v>25</v>
      </c>
      <c r="K35">
        <f t="shared" si="2"/>
        <v>16</v>
      </c>
      <c r="L35">
        <f t="shared" si="3"/>
        <v>25</v>
      </c>
      <c r="M35">
        <f t="shared" si="4"/>
        <v>16</v>
      </c>
      <c r="N35">
        <f t="shared" si="5"/>
        <v>4</v>
      </c>
      <c r="O35">
        <f t="shared" si="6"/>
        <v>16</v>
      </c>
    </row>
    <row r="36" spans="2:15" x14ac:dyDescent="0.25">
      <c r="B36">
        <v>2</v>
      </c>
      <c r="C36">
        <v>2</v>
      </c>
      <c r="D36">
        <v>1</v>
      </c>
      <c r="E36">
        <v>5</v>
      </c>
      <c r="F36">
        <v>4</v>
      </c>
      <c r="G36">
        <v>4</v>
      </c>
      <c r="J36">
        <f t="shared" si="1"/>
        <v>4</v>
      </c>
      <c r="K36">
        <f t="shared" si="2"/>
        <v>4</v>
      </c>
      <c r="L36">
        <f t="shared" si="3"/>
        <v>1</v>
      </c>
      <c r="M36">
        <f t="shared" si="4"/>
        <v>25</v>
      </c>
      <c r="N36">
        <f t="shared" si="5"/>
        <v>16</v>
      </c>
      <c r="O36">
        <f t="shared" si="6"/>
        <v>16</v>
      </c>
    </row>
    <row r="37" spans="2:15" x14ac:dyDescent="0.25">
      <c r="B37">
        <v>4</v>
      </c>
      <c r="C37">
        <v>6</v>
      </c>
      <c r="D37">
        <v>4</v>
      </c>
      <c r="E37">
        <v>6</v>
      </c>
      <c r="F37">
        <v>4</v>
      </c>
      <c r="G37">
        <v>7</v>
      </c>
      <c r="J37">
        <f t="shared" si="1"/>
        <v>16</v>
      </c>
      <c r="K37">
        <f t="shared" si="2"/>
        <v>36</v>
      </c>
      <c r="L37">
        <f t="shared" si="3"/>
        <v>16</v>
      </c>
      <c r="M37">
        <f t="shared" si="4"/>
        <v>36</v>
      </c>
      <c r="N37">
        <f t="shared" si="5"/>
        <v>16</v>
      </c>
      <c r="O37">
        <f t="shared" si="6"/>
        <v>49</v>
      </c>
    </row>
    <row r="38" spans="2:15" x14ac:dyDescent="0.25">
      <c r="B38">
        <v>6</v>
      </c>
      <c r="C38">
        <v>5</v>
      </c>
      <c r="D38">
        <v>4</v>
      </c>
      <c r="E38">
        <v>2</v>
      </c>
      <c r="F38">
        <v>1</v>
      </c>
      <c r="G38">
        <v>4</v>
      </c>
      <c r="J38">
        <f t="shared" si="1"/>
        <v>36</v>
      </c>
      <c r="K38">
        <f t="shared" si="2"/>
        <v>25</v>
      </c>
      <c r="L38">
        <f t="shared" si="3"/>
        <v>16</v>
      </c>
      <c r="M38">
        <f t="shared" si="4"/>
        <v>4</v>
      </c>
      <c r="N38">
        <f t="shared" si="5"/>
        <v>1</v>
      </c>
      <c r="O38">
        <f t="shared" si="6"/>
        <v>16</v>
      </c>
    </row>
    <row r="39" spans="2:15" x14ac:dyDescent="0.25">
      <c r="B39">
        <v>3</v>
      </c>
      <c r="C39">
        <v>5</v>
      </c>
      <c r="D39">
        <v>4</v>
      </c>
      <c r="E39">
        <v>6</v>
      </c>
      <c r="F39">
        <v>4</v>
      </c>
      <c r="G39">
        <v>7</v>
      </c>
      <c r="J39">
        <f t="shared" si="1"/>
        <v>9</v>
      </c>
      <c r="K39">
        <f t="shared" si="2"/>
        <v>25</v>
      </c>
      <c r="L39">
        <f t="shared" si="3"/>
        <v>16</v>
      </c>
      <c r="M39">
        <f t="shared" si="4"/>
        <v>36</v>
      </c>
      <c r="N39">
        <f t="shared" si="5"/>
        <v>16</v>
      </c>
      <c r="O39">
        <f t="shared" si="6"/>
        <v>49</v>
      </c>
    </row>
    <row r="40" spans="2:15" x14ac:dyDescent="0.25">
      <c r="B40">
        <v>4</v>
      </c>
      <c r="C40">
        <v>4</v>
      </c>
      <c r="D40">
        <v>7</v>
      </c>
      <c r="E40">
        <v>2</v>
      </c>
      <c r="F40">
        <v>2</v>
      </c>
      <c r="G40">
        <v>5</v>
      </c>
      <c r="J40">
        <f t="shared" si="1"/>
        <v>16</v>
      </c>
      <c r="K40">
        <f t="shared" si="2"/>
        <v>16</v>
      </c>
      <c r="L40">
        <f t="shared" si="3"/>
        <v>49</v>
      </c>
      <c r="M40">
        <f t="shared" si="4"/>
        <v>4</v>
      </c>
      <c r="N40">
        <f t="shared" si="5"/>
        <v>4</v>
      </c>
      <c r="O40">
        <f t="shared" si="6"/>
        <v>25</v>
      </c>
    </row>
    <row r="41" spans="2:15" x14ac:dyDescent="0.25">
      <c r="B41">
        <v>3</v>
      </c>
      <c r="C41">
        <v>7</v>
      </c>
      <c r="D41">
        <v>2</v>
      </c>
      <c r="E41">
        <v>6</v>
      </c>
      <c r="F41">
        <v>4</v>
      </c>
      <c r="G41">
        <v>3</v>
      </c>
      <c r="J41">
        <f t="shared" si="1"/>
        <v>9</v>
      </c>
      <c r="K41">
        <f t="shared" si="2"/>
        <v>49</v>
      </c>
      <c r="L41">
        <f t="shared" si="3"/>
        <v>4</v>
      </c>
      <c r="M41">
        <f t="shared" si="4"/>
        <v>36</v>
      </c>
      <c r="N41">
        <f t="shared" si="5"/>
        <v>16</v>
      </c>
      <c r="O41">
        <f t="shared" si="6"/>
        <v>9</v>
      </c>
    </row>
    <row r="42" spans="2:15" x14ac:dyDescent="0.25">
      <c r="B42">
        <v>4</v>
      </c>
      <c r="C42">
        <v>6</v>
      </c>
      <c r="D42">
        <v>3</v>
      </c>
      <c r="E42">
        <v>7</v>
      </c>
      <c r="F42">
        <v>2</v>
      </c>
      <c r="G42">
        <v>7</v>
      </c>
      <c r="J42">
        <f t="shared" si="1"/>
        <v>16</v>
      </c>
      <c r="K42">
        <f t="shared" si="2"/>
        <v>36</v>
      </c>
      <c r="L42">
        <f t="shared" si="3"/>
        <v>9</v>
      </c>
      <c r="M42">
        <f t="shared" si="4"/>
        <v>49</v>
      </c>
      <c r="N42">
        <f t="shared" si="5"/>
        <v>4</v>
      </c>
      <c r="O42">
        <f t="shared" si="6"/>
        <v>49</v>
      </c>
    </row>
    <row r="43" spans="2:15" x14ac:dyDescent="0.25">
      <c r="B43">
        <v>2</v>
      </c>
      <c r="C43">
        <v>3</v>
      </c>
      <c r="D43">
        <v>2</v>
      </c>
      <c r="E43">
        <v>4</v>
      </c>
      <c r="F43">
        <v>7</v>
      </c>
      <c r="G43">
        <v>2</v>
      </c>
      <c r="J43">
        <f t="shared" si="1"/>
        <v>4</v>
      </c>
      <c r="K43">
        <f t="shared" si="2"/>
        <v>9</v>
      </c>
      <c r="L43">
        <f t="shared" si="3"/>
        <v>4</v>
      </c>
      <c r="M43">
        <f t="shared" si="4"/>
        <v>16</v>
      </c>
      <c r="N43">
        <f t="shared" si="5"/>
        <v>49</v>
      </c>
      <c r="O43">
        <f t="shared" si="6"/>
        <v>4</v>
      </c>
    </row>
    <row r="44" spans="2:15" x14ac:dyDescent="0.25">
      <c r="B44">
        <v>5</v>
      </c>
      <c r="C44">
        <v>4</v>
      </c>
      <c r="D44">
        <v>6</v>
      </c>
      <c r="E44">
        <v>4</v>
      </c>
      <c r="F44">
        <v>3</v>
      </c>
      <c r="G44">
        <v>5</v>
      </c>
      <c r="J44">
        <f t="shared" si="1"/>
        <v>25</v>
      </c>
      <c r="K44">
        <f t="shared" si="2"/>
        <v>16</v>
      </c>
      <c r="L44">
        <f t="shared" si="3"/>
        <v>36</v>
      </c>
      <c r="M44">
        <f t="shared" si="4"/>
        <v>16</v>
      </c>
      <c r="N44">
        <f t="shared" si="5"/>
        <v>9</v>
      </c>
      <c r="O44">
        <f t="shared" si="6"/>
        <v>25</v>
      </c>
    </row>
    <row r="45" spans="2:15" x14ac:dyDescent="0.25">
      <c r="B45" s="8">
        <f>AVERAGE(B24:B44)</f>
        <v>3.9047619047619047</v>
      </c>
      <c r="C45" s="8">
        <f>AVERAGE(C24:C44)</f>
        <v>4</v>
      </c>
      <c r="D45" s="8">
        <f t="shared" ref="D45:G45" si="7">AVERAGE(D24:D44)</f>
        <v>4.0476190476190474</v>
      </c>
      <c r="E45" s="8">
        <f t="shared" si="7"/>
        <v>4.0952380952380949</v>
      </c>
      <c r="F45" s="8">
        <f t="shared" si="7"/>
        <v>3.4285714285714284</v>
      </c>
      <c r="G45" s="8">
        <f t="shared" si="7"/>
        <v>4.3809523809523814</v>
      </c>
    </row>
    <row r="51" spans="1:17" x14ac:dyDescent="0.25">
      <c r="A51" s="4" t="s">
        <v>9</v>
      </c>
      <c r="B51" s="4"/>
      <c r="D51" s="4" t="s">
        <v>9</v>
      </c>
      <c r="E51" s="4"/>
      <c r="G51" s="4" t="s">
        <v>9</v>
      </c>
      <c r="H51" s="4"/>
    </row>
    <row r="52" spans="1:17" x14ac:dyDescent="0.25">
      <c r="A52" s="4" t="s">
        <v>16</v>
      </c>
      <c r="B52" s="4"/>
      <c r="D52" s="4" t="s">
        <v>17</v>
      </c>
      <c r="E52" s="4"/>
      <c r="G52" s="4" t="s">
        <v>17</v>
      </c>
      <c r="H52" s="4"/>
    </row>
    <row r="53" spans="1:17" x14ac:dyDescent="0.25">
      <c r="A53" t="s">
        <v>6</v>
      </c>
      <c r="B53" s="8">
        <f>B45</f>
        <v>3.9047619047619047</v>
      </c>
      <c r="C53" s="10" t="s">
        <v>18</v>
      </c>
      <c r="D53" t="s">
        <v>6</v>
      </c>
      <c r="E53">
        <f>C45</f>
        <v>4</v>
      </c>
      <c r="G53" t="s">
        <v>6</v>
      </c>
      <c r="H53">
        <f>D45</f>
        <v>4.0476190476190474</v>
      </c>
    </row>
    <row r="54" spans="1:17" x14ac:dyDescent="0.25">
      <c r="A54" t="s">
        <v>8</v>
      </c>
      <c r="B54">
        <f>(SUM(J24:J44)/20)-(21*B53^2)/20</f>
        <v>3.4904761904761941</v>
      </c>
      <c r="C54" s="11">
        <f>_xlfn.VAR.S(B24:B44)</f>
        <v>3.4904761904761896</v>
      </c>
      <c r="D54" t="s">
        <v>8</v>
      </c>
      <c r="E54">
        <f>_xlfn.VAR.S(C24:C44)</f>
        <v>1.9</v>
      </c>
      <c r="G54" t="s">
        <v>8</v>
      </c>
      <c r="H54">
        <f>_xlfn.VAR.S(D24:D44)</f>
        <v>4.0476190476190483</v>
      </c>
      <c r="J54" s="3" t="s">
        <v>12</v>
      </c>
      <c r="K54" s="3"/>
      <c r="L54" s="3"/>
      <c r="M54" s="3"/>
    </row>
    <row r="55" spans="1:17" x14ac:dyDescent="0.25">
      <c r="A55" t="s">
        <v>7</v>
      </c>
      <c r="B55">
        <f>SQRT(B54)</f>
        <v>1.8682816143387468</v>
      </c>
      <c r="D55" t="s">
        <v>7</v>
      </c>
      <c r="E55">
        <f>SQRT(E54)</f>
        <v>1.3784048752090221</v>
      </c>
      <c r="G55" t="s">
        <v>7</v>
      </c>
      <c r="H55">
        <f>SQRT(H54)</f>
        <v>2.0118695404073916</v>
      </c>
      <c r="J55" s="4" t="s">
        <v>11</v>
      </c>
      <c r="K55" s="4"/>
      <c r="L55" s="4"/>
      <c r="M55" s="4"/>
      <c r="N55" s="4"/>
      <c r="O55" s="4"/>
      <c r="P55" s="4"/>
      <c r="Q55" s="4"/>
    </row>
    <row r="58" spans="1:17" x14ac:dyDescent="0.25">
      <c r="A58" s="1" t="s">
        <v>10</v>
      </c>
      <c r="D58" s="6" t="s">
        <v>10</v>
      </c>
      <c r="G58" s="9" t="s">
        <v>10</v>
      </c>
    </row>
    <row r="59" spans="1:17" x14ac:dyDescent="0.25">
      <c r="A59" s="1">
        <v>6</v>
      </c>
      <c r="D59" s="6">
        <v>4</v>
      </c>
      <c r="G59" s="9">
        <v>7</v>
      </c>
    </row>
    <row r="60" spans="1:17" x14ac:dyDescent="0.25">
      <c r="A60">
        <f>(A59-B53)/B55</f>
        <v>1.1214787316630939</v>
      </c>
      <c r="D60">
        <f>(D59-E53)/E55</f>
        <v>0</v>
      </c>
      <c r="G60">
        <f>(G59-H53)/H55</f>
        <v>1.4674813118265675</v>
      </c>
    </row>
  </sheetData>
  <mergeCells count="11">
    <mergeCell ref="D51:E51"/>
    <mergeCell ref="D52:E52"/>
    <mergeCell ref="G51:H51"/>
    <mergeCell ref="G52:H52"/>
    <mergeCell ref="A51:B51"/>
    <mergeCell ref="J55:Q55"/>
    <mergeCell ref="J54:M54"/>
    <mergeCell ref="C5:L7"/>
    <mergeCell ref="B9:D9"/>
    <mergeCell ref="F9:G9"/>
    <mergeCell ref="A52:B52"/>
  </mergeCells>
  <pageMargins left="0.7" right="0.7" top="0.75" bottom="0.75" header="0.3" footer="0.3"/>
  <pageSetup paperSize="9" orientation="portrait" horizontalDpi="300" verticalDpi="30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Luis</cp:lastModifiedBy>
  <dcterms:created xsi:type="dcterms:W3CDTF">2021-03-06T08:30:54Z</dcterms:created>
  <dcterms:modified xsi:type="dcterms:W3CDTF">2021-03-06T15:19:23Z</dcterms:modified>
</cp:coreProperties>
</file>