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ALM-2020-2\MULTIVARIADAS1\semana6_a_semana12\proyecto_AnalisisDiscriminanteLineal\"/>
    </mc:Choice>
  </mc:AlternateContent>
  <xr:revisionPtr revIDLastSave="0" documentId="13_ncr:1_{BAA90034-FADB-44C0-BF5A-C90EC1DFE87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urva ROC (0.54) " sheetId="9" r:id="rId1"/>
    <sheet name="Curva ROC (0.40) " sheetId="8" r:id="rId2"/>
    <sheet name="Curva ROC (0.50)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9" l="1"/>
  <c r="F40" i="9"/>
  <c r="F39" i="9"/>
  <c r="F31" i="9"/>
  <c r="E44" i="9" s="1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I7" i="9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F7" i="9"/>
  <c r="I6" i="9"/>
  <c r="H6" i="9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F6" i="9"/>
  <c r="I5" i="9"/>
  <c r="H5" i="9"/>
  <c r="F5" i="9"/>
  <c r="F40" i="8"/>
  <c r="F39" i="8"/>
  <c r="F32" i="8"/>
  <c r="F31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I5" i="8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H5" i="8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F5" i="8"/>
  <c r="F25" i="9" l="1"/>
  <c r="E44" i="8"/>
  <c r="F25" i="8"/>
  <c r="F40" i="7" l="1"/>
  <c r="F39" i="7"/>
  <c r="F32" i="7"/>
  <c r="F31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I5" i="7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H5" i="7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F5" i="7"/>
  <c r="E44" i="7" l="1"/>
  <c r="F25" i="7"/>
</calcChain>
</file>

<file path=xl/sharedStrings.xml><?xml version="1.0" encoding="utf-8"?>
<sst xmlns="http://schemas.openxmlformats.org/spreadsheetml/2006/main" count="204" uniqueCount="24">
  <si>
    <t>P</t>
  </si>
  <si>
    <t>N</t>
  </si>
  <si>
    <t>pos/neg = 1</t>
  </si>
  <si>
    <t>step =</t>
  </si>
  <si>
    <t>TP = 0,6</t>
  </si>
  <si>
    <t>Clase Real</t>
  </si>
  <si>
    <t>Probabilidad</t>
  </si>
  <si>
    <t>Aciertos</t>
  </si>
  <si>
    <t>Accuracy</t>
  </si>
  <si>
    <t>1-Especificidad</t>
  </si>
  <si>
    <t>Sensibilidad</t>
  </si>
  <si>
    <t>Id</t>
  </si>
  <si>
    <t>Accuracy      =</t>
  </si>
  <si>
    <t>Clase Predicha (punto de corte &gt;= 0.50)</t>
  </si>
  <si>
    <t>Punto de Corte = 0,50</t>
  </si>
  <si>
    <t>TP = 0,7</t>
  </si>
  <si>
    <t>FP = 0,4</t>
  </si>
  <si>
    <t>Punto de Corte = 0,40</t>
  </si>
  <si>
    <t>Clase Predicha (punto de corte &gt;= 0.40)</t>
  </si>
  <si>
    <t>1 - Especificidad</t>
  </si>
  <si>
    <t>1 -Especificidad</t>
  </si>
  <si>
    <t>Clase Predicha</t>
  </si>
  <si>
    <t>TP = 0.416</t>
  </si>
  <si>
    <t>FP = 0,125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</si>
</sst>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theme="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7" borderId="2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Porcentaje 2" xfId="2" xr:uid="{00000000-0005-0000-0000-000003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647336114379765E-2"/>
          <c:y val="4.3419261114718305E-2"/>
          <c:w val="0.83941343344471664"/>
          <c:h val="0.87626137369539225"/>
        </c:manualLayout>
      </c:layout>
      <c:scatterChart>
        <c:scatterStyle val="lineMarker"/>
        <c:varyColors val="0"/>
        <c:ser>
          <c:idx val="2"/>
          <c:order val="0"/>
          <c:spPr>
            <a:ln w="19050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75000"/>
                </a:schemeClr>
              </a:solidFill>
              <a:ln w="9525">
                <a:solidFill>
                  <a:schemeClr val="dk1">
                    <a:tint val="75000"/>
                  </a:schemeClr>
                </a:solidFill>
              </a:ln>
              <a:effectLst/>
            </c:spPr>
          </c:marker>
          <c:xVal>
            <c:numRef>
              <c:f>'Curva ROC (0.54) '!$H$4:$H$24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0.30000000000000004</c:v>
                </c:pt>
                <c:pt idx="9">
                  <c:v>0.30000000000000004</c:v>
                </c:pt>
                <c:pt idx="10" formatCode="General">
                  <c:v>0.4</c:v>
                </c:pt>
                <c:pt idx="11">
                  <c:v>0.4</c:v>
                </c:pt>
                <c:pt idx="12">
                  <c:v>0.5</c:v>
                </c:pt>
                <c:pt idx="13">
                  <c:v>0.5</c:v>
                </c:pt>
                <c:pt idx="14">
                  <c:v>0.6</c:v>
                </c:pt>
                <c:pt idx="15">
                  <c:v>0.7</c:v>
                </c:pt>
                <c:pt idx="16">
                  <c:v>0.79999999999999993</c:v>
                </c:pt>
                <c:pt idx="17">
                  <c:v>0.79999999999999993</c:v>
                </c:pt>
                <c:pt idx="18">
                  <c:v>0.89999999999999991</c:v>
                </c:pt>
                <c:pt idx="19">
                  <c:v>0.89999999999999991</c:v>
                </c:pt>
                <c:pt idx="20">
                  <c:v>0.99999999999999989</c:v>
                </c:pt>
              </c:numCache>
            </c:numRef>
          </c:xVal>
          <c:yVal>
            <c:numRef>
              <c:f>'Curva ROC (0.54) '!$I$4:$I$24</c:f>
              <c:numCache>
                <c:formatCode>0.0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</c:v>
                </c:pt>
                <c:pt idx="4">
                  <c:v>0.30000000000000004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0.6</c:v>
                </c:pt>
                <c:pt idx="10" formatCode="General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0.79999999999999993</c:v>
                </c:pt>
                <c:pt idx="14">
                  <c:v>0.79999999999999993</c:v>
                </c:pt>
                <c:pt idx="15">
                  <c:v>0.79999999999999993</c:v>
                </c:pt>
                <c:pt idx="16">
                  <c:v>0.79999999999999993</c:v>
                </c:pt>
                <c:pt idx="17">
                  <c:v>0.89999999999999991</c:v>
                </c:pt>
                <c:pt idx="18">
                  <c:v>0.89999999999999991</c:v>
                </c:pt>
                <c:pt idx="19">
                  <c:v>0.99999999999999989</c:v>
                </c:pt>
                <c:pt idx="2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E1-4091-AF28-8FBA279FDE8C}"/>
            </c:ext>
          </c:extLst>
        </c:ser>
        <c:ser>
          <c:idx val="3"/>
          <c:order val="1"/>
          <c:spPr>
            <a:ln w="19050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98500"/>
                </a:schemeClr>
              </a:solidFill>
              <a:ln w="9525">
                <a:solidFill>
                  <a:schemeClr val="dk1">
                    <a:tint val="98500"/>
                  </a:schemeClr>
                </a:solidFill>
              </a:ln>
              <a:effectLst/>
            </c:spPr>
          </c:marker>
          <c:xVal>
            <c:numRef>
              <c:f>'Curva ROC (0.54) '!$H$26:$H$27</c:f>
              <c:numCache>
                <c:formatCode>General</c:formatCode>
                <c:ptCount val="2"/>
              </c:numCache>
            </c:numRef>
          </c:xVal>
          <c:yVal>
            <c:numRef>
              <c:f>'Curva ROC (0.54) '!$I$26:$I$27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E1-4091-AF28-8FBA279FDE8C}"/>
            </c:ext>
          </c:extLst>
        </c:ser>
        <c:ser>
          <c:idx val="0"/>
          <c:order val="2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8E1-4091-AF28-8FBA279FDE8C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8E1-4091-AF28-8FBA279FDE8C}"/>
              </c:ext>
            </c:extLst>
          </c:dPt>
          <c:xVal>
            <c:numRef>
              <c:f>'Curva ROC (0.54) '!$H$4:$H$24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0.30000000000000004</c:v>
                </c:pt>
                <c:pt idx="9">
                  <c:v>0.30000000000000004</c:v>
                </c:pt>
                <c:pt idx="10" formatCode="General">
                  <c:v>0.4</c:v>
                </c:pt>
                <c:pt idx="11">
                  <c:v>0.4</c:v>
                </c:pt>
                <c:pt idx="12">
                  <c:v>0.5</c:v>
                </c:pt>
                <c:pt idx="13">
                  <c:v>0.5</c:v>
                </c:pt>
                <c:pt idx="14">
                  <c:v>0.6</c:v>
                </c:pt>
                <c:pt idx="15">
                  <c:v>0.7</c:v>
                </c:pt>
                <c:pt idx="16">
                  <c:v>0.79999999999999993</c:v>
                </c:pt>
                <c:pt idx="17">
                  <c:v>0.79999999999999993</c:v>
                </c:pt>
                <c:pt idx="18">
                  <c:v>0.89999999999999991</c:v>
                </c:pt>
                <c:pt idx="19">
                  <c:v>0.89999999999999991</c:v>
                </c:pt>
                <c:pt idx="20">
                  <c:v>0.99999999999999989</c:v>
                </c:pt>
              </c:numCache>
            </c:numRef>
          </c:xVal>
          <c:yVal>
            <c:numRef>
              <c:f>'Curva ROC (0.54) '!$I$4:$I$24</c:f>
              <c:numCache>
                <c:formatCode>0.0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</c:v>
                </c:pt>
                <c:pt idx="4">
                  <c:v>0.30000000000000004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0.6</c:v>
                </c:pt>
                <c:pt idx="10" formatCode="General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0.79999999999999993</c:v>
                </c:pt>
                <c:pt idx="14">
                  <c:v>0.79999999999999993</c:v>
                </c:pt>
                <c:pt idx="15">
                  <c:v>0.79999999999999993</c:v>
                </c:pt>
                <c:pt idx="16">
                  <c:v>0.79999999999999993</c:v>
                </c:pt>
                <c:pt idx="17">
                  <c:v>0.89999999999999991</c:v>
                </c:pt>
                <c:pt idx="18">
                  <c:v>0.89999999999999991</c:v>
                </c:pt>
                <c:pt idx="19">
                  <c:v>0.99999999999999989</c:v>
                </c:pt>
                <c:pt idx="2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E1-4091-AF28-8FBA279FDE8C}"/>
            </c:ext>
          </c:extLst>
        </c:ser>
        <c:ser>
          <c:idx val="1"/>
          <c:order val="3"/>
          <c:spPr>
            <a:ln w="19050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 ROC (0.54) '!$H$26:$H$27</c:f>
              <c:numCache>
                <c:formatCode>General</c:formatCode>
                <c:ptCount val="2"/>
              </c:numCache>
            </c:numRef>
          </c:xVal>
          <c:yVal>
            <c:numRef>
              <c:f>'Curva ROC (0.54) '!$I$26:$I$27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E1-4091-AF28-8FBA279FD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47836032"/>
        <c:axId val="-947824608"/>
      </c:scatterChart>
      <c:valAx>
        <c:axId val="-94783603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947824608"/>
        <c:crosses val="autoZero"/>
        <c:crossBetween val="midCat"/>
        <c:majorUnit val="0.1"/>
      </c:valAx>
      <c:valAx>
        <c:axId val="-9478246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94783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647336114379765E-2"/>
          <c:y val="4.3419261114718305E-2"/>
          <c:w val="0.83941343344471664"/>
          <c:h val="0.87626137369539225"/>
        </c:manualLayout>
      </c:layout>
      <c:scatterChart>
        <c:scatterStyle val="lineMarker"/>
        <c:varyColors val="0"/>
        <c:ser>
          <c:idx val="2"/>
          <c:order val="0"/>
          <c:spPr>
            <a:ln w="19050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75000"/>
                </a:schemeClr>
              </a:solidFill>
              <a:ln w="9525">
                <a:solidFill>
                  <a:schemeClr val="dk1">
                    <a:tint val="75000"/>
                  </a:schemeClr>
                </a:solidFill>
              </a:ln>
              <a:effectLst/>
            </c:spPr>
          </c:marker>
          <c:xVal>
            <c:numRef>
              <c:f>'Curva ROC (0.40) '!$H$4:$H$24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0.30000000000000004</c:v>
                </c:pt>
                <c:pt idx="9">
                  <c:v>0.30000000000000004</c:v>
                </c:pt>
                <c:pt idx="10">
                  <c:v>0.4</c:v>
                </c:pt>
                <c:pt idx="11">
                  <c:v>0.4</c:v>
                </c:pt>
                <c:pt idx="12">
                  <c:v>0.5</c:v>
                </c:pt>
                <c:pt idx="13">
                  <c:v>0.5</c:v>
                </c:pt>
                <c:pt idx="14">
                  <c:v>0.6</c:v>
                </c:pt>
                <c:pt idx="15">
                  <c:v>0.7</c:v>
                </c:pt>
                <c:pt idx="16">
                  <c:v>0.79999999999999993</c:v>
                </c:pt>
                <c:pt idx="17">
                  <c:v>0.79999999999999993</c:v>
                </c:pt>
                <c:pt idx="18">
                  <c:v>0.89999999999999991</c:v>
                </c:pt>
                <c:pt idx="19">
                  <c:v>0.89999999999999991</c:v>
                </c:pt>
                <c:pt idx="20">
                  <c:v>0.99999999999999989</c:v>
                </c:pt>
              </c:numCache>
            </c:numRef>
          </c:xVal>
          <c:yVal>
            <c:numRef>
              <c:f>'Curva ROC (0.40) '!$I$4:$I$24</c:f>
              <c:numCache>
                <c:formatCode>0.0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</c:v>
                </c:pt>
                <c:pt idx="4">
                  <c:v>0.30000000000000004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0.79999999999999993</c:v>
                </c:pt>
                <c:pt idx="14">
                  <c:v>0.79999999999999993</c:v>
                </c:pt>
                <c:pt idx="15">
                  <c:v>0.79999999999999993</c:v>
                </c:pt>
                <c:pt idx="16">
                  <c:v>0.79999999999999993</c:v>
                </c:pt>
                <c:pt idx="17">
                  <c:v>0.89999999999999991</c:v>
                </c:pt>
                <c:pt idx="18">
                  <c:v>0.89999999999999991</c:v>
                </c:pt>
                <c:pt idx="19">
                  <c:v>0.99999999999999989</c:v>
                </c:pt>
                <c:pt idx="2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C-4431-A403-D115CB539F6F}"/>
            </c:ext>
          </c:extLst>
        </c:ser>
        <c:ser>
          <c:idx val="3"/>
          <c:order val="1"/>
          <c:spPr>
            <a:ln w="19050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98500"/>
                </a:schemeClr>
              </a:solidFill>
              <a:ln w="9525">
                <a:solidFill>
                  <a:schemeClr val="dk1">
                    <a:tint val="98500"/>
                  </a:schemeClr>
                </a:solidFill>
              </a:ln>
              <a:effectLst/>
            </c:spPr>
          </c:marker>
          <c:xVal>
            <c:numRef>
              <c:f>'Curva ROC (0.40) '!$H$26:$H$27</c:f>
              <c:numCache>
                <c:formatCode>General</c:formatCode>
                <c:ptCount val="2"/>
              </c:numCache>
            </c:numRef>
          </c:xVal>
          <c:yVal>
            <c:numRef>
              <c:f>'Curva ROC (0.40) '!$I$26:$I$27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AC-4431-A403-D115CB539F6F}"/>
            </c:ext>
          </c:extLst>
        </c:ser>
        <c:ser>
          <c:idx val="0"/>
          <c:order val="2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3AC-4431-A403-D115CB539F6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3AC-4431-A403-D115CB539F6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3AC-4431-A403-D115CB539F6F}"/>
              </c:ext>
            </c:extLst>
          </c:dPt>
          <c:xVal>
            <c:numRef>
              <c:f>'Curva ROC (0.40) '!$H$4:$H$24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0.30000000000000004</c:v>
                </c:pt>
                <c:pt idx="9">
                  <c:v>0.30000000000000004</c:v>
                </c:pt>
                <c:pt idx="10">
                  <c:v>0.4</c:v>
                </c:pt>
                <c:pt idx="11">
                  <c:v>0.4</c:v>
                </c:pt>
                <c:pt idx="12">
                  <c:v>0.5</c:v>
                </c:pt>
                <c:pt idx="13">
                  <c:v>0.5</c:v>
                </c:pt>
                <c:pt idx="14">
                  <c:v>0.6</c:v>
                </c:pt>
                <c:pt idx="15">
                  <c:v>0.7</c:v>
                </c:pt>
                <c:pt idx="16">
                  <c:v>0.79999999999999993</c:v>
                </c:pt>
                <c:pt idx="17">
                  <c:v>0.79999999999999993</c:v>
                </c:pt>
                <c:pt idx="18">
                  <c:v>0.89999999999999991</c:v>
                </c:pt>
                <c:pt idx="19">
                  <c:v>0.89999999999999991</c:v>
                </c:pt>
                <c:pt idx="20">
                  <c:v>0.99999999999999989</c:v>
                </c:pt>
              </c:numCache>
            </c:numRef>
          </c:xVal>
          <c:yVal>
            <c:numRef>
              <c:f>'Curva ROC (0.40) '!$I$4:$I$24</c:f>
              <c:numCache>
                <c:formatCode>0.0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</c:v>
                </c:pt>
                <c:pt idx="4">
                  <c:v>0.30000000000000004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0.79999999999999993</c:v>
                </c:pt>
                <c:pt idx="14">
                  <c:v>0.79999999999999993</c:v>
                </c:pt>
                <c:pt idx="15">
                  <c:v>0.79999999999999993</c:v>
                </c:pt>
                <c:pt idx="16">
                  <c:v>0.79999999999999993</c:v>
                </c:pt>
                <c:pt idx="17">
                  <c:v>0.89999999999999991</c:v>
                </c:pt>
                <c:pt idx="18">
                  <c:v>0.89999999999999991</c:v>
                </c:pt>
                <c:pt idx="19">
                  <c:v>0.99999999999999989</c:v>
                </c:pt>
                <c:pt idx="2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AC-4431-A403-D115CB539F6F}"/>
            </c:ext>
          </c:extLst>
        </c:ser>
        <c:ser>
          <c:idx val="1"/>
          <c:order val="3"/>
          <c:spPr>
            <a:ln w="19050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 ROC (0.40) '!$H$26:$H$27</c:f>
              <c:numCache>
                <c:formatCode>General</c:formatCode>
                <c:ptCount val="2"/>
              </c:numCache>
            </c:numRef>
          </c:xVal>
          <c:yVal>
            <c:numRef>
              <c:f>'Curva ROC (0.40) '!$I$26:$I$27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AC-4431-A403-D115CB539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47837120"/>
        <c:axId val="-947822976"/>
      </c:scatterChart>
      <c:valAx>
        <c:axId val="-947837120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947822976"/>
        <c:crosses val="autoZero"/>
        <c:crossBetween val="midCat"/>
        <c:majorUnit val="0.1"/>
      </c:valAx>
      <c:valAx>
        <c:axId val="-94782297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94783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647336114379765E-2"/>
          <c:y val="4.3419261114718305E-2"/>
          <c:w val="0.83941343344471664"/>
          <c:h val="0.87626137369539225"/>
        </c:manualLayout>
      </c:layout>
      <c:scatterChart>
        <c:scatterStyle val="lineMarker"/>
        <c:varyColors val="0"/>
        <c:ser>
          <c:idx val="2"/>
          <c:order val="0"/>
          <c:spPr>
            <a:ln w="19050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75000"/>
                </a:schemeClr>
              </a:solidFill>
              <a:ln w="9525">
                <a:solidFill>
                  <a:schemeClr val="dk1">
                    <a:tint val="75000"/>
                  </a:schemeClr>
                </a:solidFill>
              </a:ln>
              <a:effectLst/>
            </c:spPr>
          </c:marker>
          <c:xVal>
            <c:numRef>
              <c:f>'Curva ROC (0.50)'!$H$4:$H$24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0.30000000000000004</c:v>
                </c:pt>
                <c:pt idx="9">
                  <c:v>0.30000000000000004</c:v>
                </c:pt>
                <c:pt idx="10">
                  <c:v>0.4</c:v>
                </c:pt>
                <c:pt idx="11">
                  <c:v>0.4</c:v>
                </c:pt>
                <c:pt idx="12">
                  <c:v>0.5</c:v>
                </c:pt>
                <c:pt idx="13">
                  <c:v>0.5</c:v>
                </c:pt>
                <c:pt idx="14">
                  <c:v>0.6</c:v>
                </c:pt>
                <c:pt idx="15">
                  <c:v>0.7</c:v>
                </c:pt>
                <c:pt idx="16">
                  <c:v>0.79999999999999993</c:v>
                </c:pt>
                <c:pt idx="17">
                  <c:v>0.79999999999999993</c:v>
                </c:pt>
                <c:pt idx="18">
                  <c:v>0.89999999999999991</c:v>
                </c:pt>
                <c:pt idx="19">
                  <c:v>0.89999999999999991</c:v>
                </c:pt>
                <c:pt idx="20">
                  <c:v>0.99999999999999989</c:v>
                </c:pt>
              </c:numCache>
            </c:numRef>
          </c:xVal>
          <c:yVal>
            <c:numRef>
              <c:f>'Curva ROC (0.50)'!$I$4:$I$24</c:f>
              <c:numCache>
                <c:formatCode>0.0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</c:v>
                </c:pt>
                <c:pt idx="4">
                  <c:v>0.30000000000000004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0.79999999999999993</c:v>
                </c:pt>
                <c:pt idx="14">
                  <c:v>0.79999999999999993</c:v>
                </c:pt>
                <c:pt idx="15">
                  <c:v>0.79999999999999993</c:v>
                </c:pt>
                <c:pt idx="16">
                  <c:v>0.79999999999999993</c:v>
                </c:pt>
                <c:pt idx="17">
                  <c:v>0.89999999999999991</c:v>
                </c:pt>
                <c:pt idx="18">
                  <c:v>0.89999999999999991</c:v>
                </c:pt>
                <c:pt idx="19">
                  <c:v>0.99999999999999989</c:v>
                </c:pt>
                <c:pt idx="2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18-400B-A53A-C2B679317FA1}"/>
            </c:ext>
          </c:extLst>
        </c:ser>
        <c:ser>
          <c:idx val="3"/>
          <c:order val="1"/>
          <c:spPr>
            <a:ln w="19050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98500"/>
                </a:schemeClr>
              </a:solidFill>
              <a:ln w="9525">
                <a:solidFill>
                  <a:schemeClr val="dk1">
                    <a:tint val="98500"/>
                  </a:schemeClr>
                </a:solidFill>
              </a:ln>
              <a:effectLst/>
            </c:spPr>
          </c:marker>
          <c:xVal>
            <c:numRef>
              <c:f>'Curva ROC (0.50)'!$H$26:$H$27</c:f>
              <c:numCache>
                <c:formatCode>General</c:formatCode>
                <c:ptCount val="2"/>
              </c:numCache>
            </c:numRef>
          </c:xVal>
          <c:yVal>
            <c:numRef>
              <c:f>'Curva ROC (0.50)'!$I$26:$I$27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18-400B-A53A-C2B679317FA1}"/>
            </c:ext>
          </c:extLst>
        </c:ser>
        <c:ser>
          <c:idx val="0"/>
          <c:order val="2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318-400B-A53A-C2B679317FA1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18-400B-A53A-C2B679317FA1}"/>
              </c:ext>
            </c:extLst>
          </c:dPt>
          <c:xVal>
            <c:numRef>
              <c:f>'Curva ROC (0.50)'!$H$4:$H$24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0.30000000000000004</c:v>
                </c:pt>
                <c:pt idx="9">
                  <c:v>0.30000000000000004</c:v>
                </c:pt>
                <c:pt idx="10">
                  <c:v>0.4</c:v>
                </c:pt>
                <c:pt idx="11">
                  <c:v>0.4</c:v>
                </c:pt>
                <c:pt idx="12">
                  <c:v>0.5</c:v>
                </c:pt>
                <c:pt idx="13">
                  <c:v>0.5</c:v>
                </c:pt>
                <c:pt idx="14">
                  <c:v>0.6</c:v>
                </c:pt>
                <c:pt idx="15">
                  <c:v>0.7</c:v>
                </c:pt>
                <c:pt idx="16">
                  <c:v>0.79999999999999993</c:v>
                </c:pt>
                <c:pt idx="17">
                  <c:v>0.79999999999999993</c:v>
                </c:pt>
                <c:pt idx="18">
                  <c:v>0.89999999999999991</c:v>
                </c:pt>
                <c:pt idx="19">
                  <c:v>0.89999999999999991</c:v>
                </c:pt>
                <c:pt idx="20">
                  <c:v>0.99999999999999989</c:v>
                </c:pt>
              </c:numCache>
            </c:numRef>
          </c:xVal>
          <c:yVal>
            <c:numRef>
              <c:f>'Curva ROC (0.50)'!$I$4:$I$24</c:f>
              <c:numCache>
                <c:formatCode>0.0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</c:v>
                </c:pt>
                <c:pt idx="4">
                  <c:v>0.30000000000000004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0.79999999999999993</c:v>
                </c:pt>
                <c:pt idx="14">
                  <c:v>0.79999999999999993</c:v>
                </c:pt>
                <c:pt idx="15">
                  <c:v>0.79999999999999993</c:v>
                </c:pt>
                <c:pt idx="16">
                  <c:v>0.79999999999999993</c:v>
                </c:pt>
                <c:pt idx="17">
                  <c:v>0.89999999999999991</c:v>
                </c:pt>
                <c:pt idx="18">
                  <c:v>0.89999999999999991</c:v>
                </c:pt>
                <c:pt idx="19">
                  <c:v>0.99999999999999989</c:v>
                </c:pt>
                <c:pt idx="2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18-400B-A53A-C2B679317FA1}"/>
            </c:ext>
          </c:extLst>
        </c:ser>
        <c:ser>
          <c:idx val="1"/>
          <c:order val="3"/>
          <c:spPr>
            <a:ln w="19050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 ROC (0.50)'!$H$26:$H$27</c:f>
              <c:numCache>
                <c:formatCode>General</c:formatCode>
                <c:ptCount val="2"/>
              </c:numCache>
            </c:numRef>
          </c:xVal>
          <c:yVal>
            <c:numRef>
              <c:f>'Curva ROC (0.50)'!$I$26:$I$27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18-400B-A53A-C2B679317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47836032"/>
        <c:axId val="-947824608"/>
      </c:scatterChart>
      <c:valAx>
        <c:axId val="-94783603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947824608"/>
        <c:crosses val="autoZero"/>
        <c:crossBetween val="midCat"/>
        <c:majorUnit val="0.1"/>
      </c:valAx>
      <c:valAx>
        <c:axId val="-9478246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94783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369888</xdr:colOff>
      <xdr:row>2</xdr:row>
      <xdr:rowOff>149225</xdr:rowOff>
    </xdr:from>
    <xdr:to>
      <xdr:col>15</xdr:col>
      <xdr:colOff>174626</xdr:colOff>
      <xdr:row>24</xdr:row>
      <xdr:rowOff>7938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D3346A-AAB3-420C-B654-10F0FDE9D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158750</xdr:colOff>
      <xdr:row>3</xdr:row>
      <xdr:rowOff>127000</xdr:rowOff>
    </xdr:from>
    <xdr:to>
      <xdr:col>14</xdr:col>
      <xdr:colOff>571500</xdr:colOff>
      <xdr:row>21</xdr:row>
      <xdr:rowOff>119063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3B4EA76-2F1F-44F2-91EA-203A30B1E19A}"/>
            </a:ext>
          </a:extLst>
        </xdr:cNvPr>
        <xdr:cNvCxnSpPr/>
      </xdr:nvCxnSpPr>
      <xdr:spPr>
        <a:xfrm flipV="1">
          <a:off x="5768975" y="622300"/>
          <a:ext cx="2851150" cy="3040063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214312</xdr:colOff>
      <xdr:row>10</xdr:row>
      <xdr:rowOff>87313</xdr:rowOff>
    </xdr:from>
    <xdr:to>
      <xdr:col>10</xdr:col>
      <xdr:colOff>595312</xdr:colOff>
      <xdr:row>11</xdr:row>
      <xdr:rowOff>134938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64C0EB53-5576-41B2-9AE8-A014E36FF529}"/>
            </a:ext>
          </a:extLst>
        </xdr:cNvPr>
        <xdr:cNvSpPr/>
      </xdr:nvSpPr>
      <xdr:spPr>
        <a:xfrm>
          <a:off x="5826125" y="2055813"/>
          <a:ext cx="3810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369888</xdr:colOff>
      <xdr:row>2</xdr:row>
      <xdr:rowOff>149225</xdr:rowOff>
    </xdr:from>
    <xdr:to>
      <xdr:col>15</xdr:col>
      <xdr:colOff>174626</xdr:colOff>
      <xdr:row>24</xdr:row>
      <xdr:rowOff>7938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158750</xdr:colOff>
      <xdr:row>3</xdr:row>
      <xdr:rowOff>127000</xdr:rowOff>
    </xdr:from>
    <xdr:to>
      <xdr:col>14</xdr:col>
      <xdr:colOff>571500</xdr:colOff>
      <xdr:row>21</xdr:row>
      <xdr:rowOff>119063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5797550" y="622300"/>
          <a:ext cx="2851150" cy="3040063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369888</xdr:colOff>
      <xdr:row>2</xdr:row>
      <xdr:rowOff>149225</xdr:rowOff>
    </xdr:from>
    <xdr:to>
      <xdr:col>15</xdr:col>
      <xdr:colOff>174626</xdr:colOff>
      <xdr:row>24</xdr:row>
      <xdr:rowOff>7938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158750</xdr:colOff>
      <xdr:row>3</xdr:row>
      <xdr:rowOff>127000</xdr:rowOff>
    </xdr:from>
    <xdr:to>
      <xdr:col>14</xdr:col>
      <xdr:colOff>571500</xdr:colOff>
      <xdr:row>21</xdr:row>
      <xdr:rowOff>119063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5802313" y="619125"/>
          <a:ext cx="2857500" cy="3040063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4E15-D0F5-4692-8636-8BED8D855CFB}">
  <dimension ref="A1:Q44"/>
  <sheetViews>
    <sheetView tabSelected="1" topLeftCell="A22" zoomScale="120" zoomScaleNormal="120" workbookViewId="0">
      <selection activeCell="F28" sqref="F28"/>
    </sheetView>
  </sheetViews>
  <sheetFormatPr baseColWidth="10" defaultColWidth="9.140625" defaultRowHeight="12.75" x14ac:dyDescent="0.25"/>
  <cols>
    <col min="1" max="1" width="2.140625" style="4" customWidth="1"/>
    <col min="2" max="2" width="5.140625" style="5" customWidth="1"/>
    <col min="3" max="3" width="7.140625" style="5" customWidth="1"/>
    <col min="4" max="4" width="13.42578125" style="5" customWidth="1"/>
    <col min="5" max="5" width="12.5703125" style="5" bestFit="1" customWidth="1"/>
    <col min="6" max="6" width="7.7109375" style="5" customWidth="1"/>
    <col min="7" max="7" width="4.5703125" style="4" customWidth="1"/>
    <col min="8" max="8" width="12.85546875" style="1" bestFit="1" customWidth="1"/>
    <col min="9" max="9" width="10.5703125" style="1" bestFit="1" customWidth="1"/>
    <col min="10" max="10" width="8" style="1" customWidth="1"/>
    <col min="11" max="12" width="9.140625" style="1"/>
    <col min="13" max="13" width="9.140625" style="1" customWidth="1"/>
    <col min="14" max="16" width="9.140625" style="1"/>
    <col min="17" max="17" width="3.42578125" style="1" customWidth="1"/>
    <col min="18" max="16384" width="9.140625" style="4"/>
  </cols>
  <sheetData>
    <row r="1" spans="1:10" x14ac:dyDescent="0.25">
      <c r="G1" s="1" t="s">
        <v>2</v>
      </c>
      <c r="I1" s="1" t="s">
        <v>3</v>
      </c>
      <c r="J1" s="2">
        <v>0.1</v>
      </c>
    </row>
    <row r="2" spans="1:10" x14ac:dyDescent="0.25">
      <c r="G2" s="1"/>
      <c r="J2" s="2"/>
    </row>
    <row r="3" spans="1:10" ht="13.5" customHeight="1" x14ac:dyDescent="0.25">
      <c r="A3" s="1"/>
      <c r="B3"/>
      <c r="C3" s="6"/>
      <c r="D3" s="6"/>
      <c r="E3" s="6"/>
      <c r="F3" s="6"/>
      <c r="H3" s="3" t="s">
        <v>9</v>
      </c>
      <c r="I3" s="3" t="s">
        <v>10</v>
      </c>
    </row>
    <row r="4" spans="1:10" ht="48.75" customHeight="1" x14ac:dyDescent="0.25">
      <c r="A4" s="1"/>
      <c r="B4" s="3" t="s">
        <v>11</v>
      </c>
      <c r="C4" s="12" t="s">
        <v>5</v>
      </c>
      <c r="D4" s="12" t="s">
        <v>6</v>
      </c>
      <c r="E4" s="12" t="s">
        <v>13</v>
      </c>
      <c r="F4" s="12" t="s">
        <v>7</v>
      </c>
      <c r="G4" s="1"/>
      <c r="H4" s="7">
        <v>0</v>
      </c>
      <c r="I4" s="7">
        <v>0</v>
      </c>
    </row>
    <row r="5" spans="1:10" ht="11.25" customHeight="1" x14ac:dyDescent="0.25">
      <c r="A5" s="1"/>
      <c r="B5" s="8">
        <v>1</v>
      </c>
      <c r="C5" s="8" t="s">
        <v>0</v>
      </c>
      <c r="D5" s="8">
        <v>0.9</v>
      </c>
      <c r="E5" s="8" t="s">
        <v>0</v>
      </c>
      <c r="F5" s="8">
        <f t="shared" ref="F5:F24" si="0">IF(C5=E5,1,0)</f>
        <v>1</v>
      </c>
      <c r="G5" s="6"/>
      <c r="H5" s="7">
        <f t="shared" ref="H5:H24" si="1">IF(C5="N",H4+$J$1,H4)</f>
        <v>0</v>
      </c>
      <c r="I5" s="7">
        <f t="shared" ref="I5:I24" si="2">IF(C5="N",I4,I4+$J$1)</f>
        <v>0.1</v>
      </c>
    </row>
    <row r="6" spans="1:10" ht="11.25" customHeight="1" x14ac:dyDescent="0.25">
      <c r="A6" s="1"/>
      <c r="B6" s="8">
        <v>2</v>
      </c>
      <c r="C6" s="8" t="s">
        <v>0</v>
      </c>
      <c r="D6" s="8">
        <v>0.8</v>
      </c>
      <c r="E6" s="8" t="s">
        <v>0</v>
      </c>
      <c r="F6" s="8">
        <f t="shared" si="0"/>
        <v>1</v>
      </c>
      <c r="G6" s="1"/>
      <c r="H6" s="7">
        <f t="shared" si="1"/>
        <v>0</v>
      </c>
      <c r="I6" s="7">
        <f t="shared" si="2"/>
        <v>0.2</v>
      </c>
    </row>
    <row r="7" spans="1:10" ht="11.25" customHeight="1" x14ac:dyDescent="0.25">
      <c r="A7" s="1"/>
      <c r="B7" s="8">
        <v>3</v>
      </c>
      <c r="C7" s="8" t="s">
        <v>1</v>
      </c>
      <c r="D7" s="8">
        <v>0.7</v>
      </c>
      <c r="E7" s="8" t="s">
        <v>0</v>
      </c>
      <c r="F7" s="8">
        <f t="shared" si="0"/>
        <v>0</v>
      </c>
      <c r="G7" s="1"/>
      <c r="H7" s="7">
        <f t="shared" si="1"/>
        <v>0.1</v>
      </c>
      <c r="I7" s="7">
        <f t="shared" si="2"/>
        <v>0.2</v>
      </c>
    </row>
    <row r="8" spans="1:10" ht="11.25" customHeight="1" x14ac:dyDescent="0.25">
      <c r="A8" s="1"/>
      <c r="B8" s="8">
        <v>4</v>
      </c>
      <c r="C8" s="8" t="s">
        <v>0</v>
      </c>
      <c r="D8" s="8">
        <v>0.6</v>
      </c>
      <c r="E8" s="8" t="s">
        <v>0</v>
      </c>
      <c r="F8" s="8">
        <f t="shared" si="0"/>
        <v>1</v>
      </c>
      <c r="G8" s="1"/>
      <c r="H8" s="7">
        <f t="shared" si="1"/>
        <v>0.1</v>
      </c>
      <c r="I8" s="7">
        <f t="shared" si="2"/>
        <v>0.30000000000000004</v>
      </c>
    </row>
    <row r="9" spans="1:10" ht="11.25" customHeight="1" x14ac:dyDescent="0.25">
      <c r="A9" s="1"/>
      <c r="B9" s="8">
        <v>5</v>
      </c>
      <c r="C9" s="8" t="s">
        <v>0</v>
      </c>
      <c r="D9" s="8">
        <v>0.55000000000000004</v>
      </c>
      <c r="E9" s="8" t="s">
        <v>0</v>
      </c>
      <c r="F9" s="8">
        <f t="shared" si="0"/>
        <v>1</v>
      </c>
      <c r="G9" s="1"/>
      <c r="H9" s="7">
        <f t="shared" si="1"/>
        <v>0.1</v>
      </c>
      <c r="I9" s="7">
        <f t="shared" si="2"/>
        <v>0.4</v>
      </c>
    </row>
    <row r="10" spans="1:10" ht="11.25" customHeight="1" x14ac:dyDescent="0.25">
      <c r="A10" s="1"/>
      <c r="B10" s="9">
        <v>6</v>
      </c>
      <c r="C10" s="9" t="s">
        <v>0</v>
      </c>
      <c r="D10" s="9">
        <v>0.54</v>
      </c>
      <c r="E10" s="8" t="s">
        <v>0</v>
      </c>
      <c r="F10" s="8">
        <f t="shared" si="0"/>
        <v>1</v>
      </c>
      <c r="G10" s="1"/>
      <c r="H10" s="21">
        <f t="shared" si="1"/>
        <v>0.1</v>
      </c>
      <c r="I10" s="20">
        <f t="shared" si="2"/>
        <v>0.5</v>
      </c>
    </row>
    <row r="11" spans="1:10" ht="11.25" customHeight="1" x14ac:dyDescent="0.25">
      <c r="A11" s="1"/>
      <c r="B11" s="8">
        <v>7</v>
      </c>
      <c r="C11" s="8" t="s">
        <v>1</v>
      </c>
      <c r="D11" s="8">
        <v>0.53</v>
      </c>
      <c r="E11" s="8" t="s">
        <v>0</v>
      </c>
      <c r="F11" s="8">
        <f t="shared" si="0"/>
        <v>0</v>
      </c>
      <c r="G11" s="1"/>
      <c r="H11" s="7">
        <f t="shared" si="1"/>
        <v>0.2</v>
      </c>
      <c r="I11" s="7">
        <f t="shared" si="2"/>
        <v>0.5</v>
      </c>
    </row>
    <row r="12" spans="1:10" ht="11.25" customHeight="1" x14ac:dyDescent="0.25">
      <c r="A12" s="1"/>
      <c r="B12" s="8">
        <v>8</v>
      </c>
      <c r="C12" s="8" t="s">
        <v>1</v>
      </c>
      <c r="D12" s="8">
        <v>0.52</v>
      </c>
      <c r="E12" s="8" t="s">
        <v>0</v>
      </c>
      <c r="F12" s="8">
        <f t="shared" si="0"/>
        <v>0</v>
      </c>
      <c r="G12" s="1"/>
      <c r="H12" s="7">
        <f t="shared" si="1"/>
        <v>0.30000000000000004</v>
      </c>
      <c r="I12" s="7">
        <f t="shared" si="2"/>
        <v>0.5</v>
      </c>
    </row>
    <row r="13" spans="1:10" ht="11.25" customHeight="1" x14ac:dyDescent="0.25">
      <c r="A13" s="1"/>
      <c r="B13" s="8">
        <v>9</v>
      </c>
      <c r="C13" s="8" t="s">
        <v>0</v>
      </c>
      <c r="D13" s="8">
        <v>0.51</v>
      </c>
      <c r="E13" s="8" t="s">
        <v>0</v>
      </c>
      <c r="F13" s="8">
        <f t="shared" si="0"/>
        <v>1</v>
      </c>
      <c r="G13" s="1"/>
      <c r="H13" s="7">
        <f t="shared" si="1"/>
        <v>0.30000000000000004</v>
      </c>
      <c r="I13" s="7">
        <f t="shared" si="2"/>
        <v>0.6</v>
      </c>
    </row>
    <row r="14" spans="1:10" ht="11.25" customHeight="1" x14ac:dyDescent="0.25">
      <c r="A14" s="1"/>
      <c r="B14" s="11">
        <v>10</v>
      </c>
      <c r="C14" s="11" t="s">
        <v>1</v>
      </c>
      <c r="D14" s="11">
        <v>0.505</v>
      </c>
      <c r="E14" s="8" t="s">
        <v>0</v>
      </c>
      <c r="F14" s="8">
        <f t="shared" si="0"/>
        <v>0</v>
      </c>
      <c r="G14" s="1"/>
      <c r="H14" s="11">
        <f t="shared" si="1"/>
        <v>0.4</v>
      </c>
      <c r="I14" s="11">
        <f t="shared" si="2"/>
        <v>0.6</v>
      </c>
    </row>
    <row r="15" spans="1:10" ht="11.25" customHeight="1" x14ac:dyDescent="0.25">
      <c r="A15" s="1"/>
      <c r="B15" s="8">
        <v>11</v>
      </c>
      <c r="C15" s="8" t="s">
        <v>0</v>
      </c>
      <c r="D15" s="8">
        <v>0.4</v>
      </c>
      <c r="E15" s="8" t="s">
        <v>1</v>
      </c>
      <c r="F15" s="8">
        <f t="shared" si="0"/>
        <v>0</v>
      </c>
      <c r="G15" s="1"/>
      <c r="H15" s="7">
        <f t="shared" si="1"/>
        <v>0.4</v>
      </c>
      <c r="I15" s="7">
        <f t="shared" si="2"/>
        <v>0.7</v>
      </c>
    </row>
    <row r="16" spans="1:10" ht="11.25" customHeight="1" x14ac:dyDescent="0.25">
      <c r="A16" s="1"/>
      <c r="B16" s="8">
        <v>12</v>
      </c>
      <c r="C16" s="8" t="s">
        <v>1</v>
      </c>
      <c r="D16" s="8">
        <v>0.39</v>
      </c>
      <c r="E16" s="8" t="s">
        <v>1</v>
      </c>
      <c r="F16" s="8">
        <f t="shared" si="0"/>
        <v>1</v>
      </c>
      <c r="G16" s="1"/>
      <c r="H16" s="7">
        <f t="shared" si="1"/>
        <v>0.5</v>
      </c>
      <c r="I16" s="7">
        <f t="shared" si="2"/>
        <v>0.7</v>
      </c>
    </row>
    <row r="17" spans="1:12" ht="11.25" customHeight="1" x14ac:dyDescent="0.25">
      <c r="A17" s="1"/>
      <c r="B17" s="8">
        <v>13</v>
      </c>
      <c r="C17" s="8" t="s">
        <v>0</v>
      </c>
      <c r="D17" s="8">
        <v>0.38</v>
      </c>
      <c r="E17" s="8" t="s">
        <v>1</v>
      </c>
      <c r="F17" s="8">
        <f t="shared" si="0"/>
        <v>0</v>
      </c>
      <c r="G17" s="1"/>
      <c r="H17" s="7">
        <f t="shared" si="1"/>
        <v>0.5</v>
      </c>
      <c r="I17" s="7">
        <f t="shared" si="2"/>
        <v>0.79999999999999993</v>
      </c>
    </row>
    <row r="18" spans="1:12" ht="11.25" customHeight="1" x14ac:dyDescent="0.25">
      <c r="A18" s="1"/>
      <c r="B18" s="8">
        <v>14</v>
      </c>
      <c r="C18" s="8" t="s">
        <v>1</v>
      </c>
      <c r="D18" s="8">
        <v>0.37</v>
      </c>
      <c r="E18" s="8" t="s">
        <v>1</v>
      </c>
      <c r="F18" s="8">
        <f t="shared" si="0"/>
        <v>1</v>
      </c>
      <c r="G18" s="1"/>
      <c r="H18" s="7">
        <f t="shared" si="1"/>
        <v>0.6</v>
      </c>
      <c r="I18" s="7">
        <f t="shared" si="2"/>
        <v>0.79999999999999993</v>
      </c>
    </row>
    <row r="19" spans="1:12" ht="11.25" customHeight="1" x14ac:dyDescent="0.25">
      <c r="A19" s="1"/>
      <c r="B19" s="8">
        <v>15</v>
      </c>
      <c r="C19" s="8" t="s">
        <v>1</v>
      </c>
      <c r="D19" s="8">
        <v>0.36</v>
      </c>
      <c r="E19" s="8" t="s">
        <v>1</v>
      </c>
      <c r="F19" s="8">
        <f t="shared" si="0"/>
        <v>1</v>
      </c>
      <c r="G19" s="1"/>
      <c r="H19" s="7">
        <f t="shared" si="1"/>
        <v>0.7</v>
      </c>
      <c r="I19" s="7">
        <f t="shared" si="2"/>
        <v>0.79999999999999993</v>
      </c>
    </row>
    <row r="20" spans="1:12" ht="11.25" customHeight="1" x14ac:dyDescent="0.25">
      <c r="A20" s="1"/>
      <c r="B20" s="8">
        <v>16</v>
      </c>
      <c r="C20" s="8" t="s">
        <v>1</v>
      </c>
      <c r="D20" s="8">
        <v>0.35</v>
      </c>
      <c r="E20" s="8" t="s">
        <v>1</v>
      </c>
      <c r="F20" s="8">
        <f t="shared" si="0"/>
        <v>1</v>
      </c>
      <c r="G20" s="1"/>
      <c r="H20" s="7">
        <f t="shared" si="1"/>
        <v>0.79999999999999993</v>
      </c>
      <c r="I20" s="7">
        <f t="shared" si="2"/>
        <v>0.79999999999999993</v>
      </c>
    </row>
    <row r="21" spans="1:12" ht="11.25" customHeight="1" x14ac:dyDescent="0.25">
      <c r="A21" s="1"/>
      <c r="B21" s="8">
        <v>17</v>
      </c>
      <c r="C21" s="8" t="s">
        <v>0</v>
      </c>
      <c r="D21" s="8">
        <v>0.34</v>
      </c>
      <c r="E21" s="8" t="s">
        <v>1</v>
      </c>
      <c r="F21" s="8">
        <f t="shared" si="0"/>
        <v>0</v>
      </c>
      <c r="G21" s="1"/>
      <c r="H21" s="7">
        <f t="shared" si="1"/>
        <v>0.79999999999999993</v>
      </c>
      <c r="I21" s="7">
        <f t="shared" si="2"/>
        <v>0.89999999999999991</v>
      </c>
    </row>
    <row r="22" spans="1:12" ht="11.25" customHeight="1" x14ac:dyDescent="0.25">
      <c r="A22" s="1"/>
      <c r="B22" s="8">
        <v>18</v>
      </c>
      <c r="C22" s="8" t="s">
        <v>1</v>
      </c>
      <c r="D22" s="8">
        <v>0.33</v>
      </c>
      <c r="E22" s="8" t="s">
        <v>1</v>
      </c>
      <c r="F22" s="8">
        <f t="shared" si="0"/>
        <v>1</v>
      </c>
      <c r="G22" s="1"/>
      <c r="H22" s="7">
        <f t="shared" si="1"/>
        <v>0.89999999999999991</v>
      </c>
      <c r="I22" s="7">
        <f t="shared" si="2"/>
        <v>0.89999999999999991</v>
      </c>
    </row>
    <row r="23" spans="1:12" ht="11.25" customHeight="1" x14ac:dyDescent="0.25">
      <c r="A23" s="1"/>
      <c r="B23" s="8">
        <v>19</v>
      </c>
      <c r="C23" s="8" t="s">
        <v>0</v>
      </c>
      <c r="D23" s="8">
        <v>0.3</v>
      </c>
      <c r="E23" s="8" t="s">
        <v>1</v>
      </c>
      <c r="F23" s="8">
        <f t="shared" si="0"/>
        <v>0</v>
      </c>
      <c r="G23" s="1"/>
      <c r="H23" s="7">
        <f t="shared" si="1"/>
        <v>0.89999999999999991</v>
      </c>
      <c r="I23" s="7">
        <f t="shared" si="2"/>
        <v>0.99999999999999989</v>
      </c>
    </row>
    <row r="24" spans="1:12" ht="11.25" customHeight="1" x14ac:dyDescent="0.25">
      <c r="A24" s="1"/>
      <c r="B24" s="8">
        <v>20</v>
      </c>
      <c r="C24" s="8" t="s">
        <v>1</v>
      </c>
      <c r="D24" s="8">
        <v>0.1</v>
      </c>
      <c r="E24" s="8" t="s">
        <v>1</v>
      </c>
      <c r="F24" s="8">
        <f t="shared" si="0"/>
        <v>1</v>
      </c>
      <c r="G24" s="1"/>
      <c r="H24" s="7">
        <f t="shared" si="1"/>
        <v>0.99999999999999989</v>
      </c>
      <c r="I24" s="7">
        <f t="shared" si="2"/>
        <v>0.99999999999999989</v>
      </c>
    </row>
    <row r="25" spans="1:12" x14ac:dyDescent="0.25">
      <c r="A25" s="1"/>
      <c r="B25" s="6"/>
      <c r="C25" s="6"/>
      <c r="D25" s="6"/>
      <c r="E25" s="6" t="s">
        <v>8</v>
      </c>
      <c r="F25" s="10">
        <f>SUM(F5:F24) / 20</f>
        <v>0.6</v>
      </c>
      <c r="G25" s="1"/>
    </row>
    <row r="26" spans="1:12" x14ac:dyDescent="0.25">
      <c r="A26" s="1"/>
      <c r="B26" s="6"/>
      <c r="C26" s="6"/>
      <c r="D26" s="6"/>
      <c r="E26" s="6"/>
      <c r="F26" s="6"/>
      <c r="G26" s="1"/>
    </row>
    <row r="28" spans="1:12" x14ac:dyDescent="0.25">
      <c r="C28" s="4" t="s">
        <v>14</v>
      </c>
      <c r="D28" s="4">
        <v>0.54</v>
      </c>
      <c r="E28" s="4"/>
      <c r="F28" s="4"/>
      <c r="I28" s="19"/>
      <c r="J28" s="19"/>
      <c r="K28" s="19"/>
      <c r="L28" s="19"/>
    </row>
    <row r="29" spans="1:12" x14ac:dyDescent="0.25">
      <c r="C29" s="4"/>
      <c r="D29" s="22" t="s">
        <v>21</v>
      </c>
      <c r="E29" s="22"/>
      <c r="F29" s="4"/>
      <c r="I29" s="19"/>
      <c r="J29" s="19"/>
      <c r="K29" s="19"/>
      <c r="L29" s="19"/>
    </row>
    <row r="30" spans="1:12" x14ac:dyDescent="0.25">
      <c r="C30" s="11"/>
      <c r="D30" s="11" t="s">
        <v>1</v>
      </c>
      <c r="E30" s="11" t="s">
        <v>0</v>
      </c>
      <c r="F30" s="11"/>
      <c r="I30" s="10"/>
      <c r="J30" s="10"/>
      <c r="K30" s="10"/>
      <c r="L30" s="10"/>
    </row>
    <row r="31" spans="1:12" x14ac:dyDescent="0.25">
      <c r="B31" s="23" t="s">
        <v>5</v>
      </c>
      <c r="C31" s="11" t="s">
        <v>1</v>
      </c>
      <c r="D31" s="11">
        <v>7</v>
      </c>
      <c r="E31" s="11">
        <v>1</v>
      </c>
      <c r="F31" s="11">
        <f>D31+E31</f>
        <v>8</v>
      </c>
      <c r="I31" s="10"/>
      <c r="J31" s="10"/>
      <c r="K31" s="10"/>
      <c r="L31" s="10"/>
    </row>
    <row r="32" spans="1:12" x14ac:dyDescent="0.25">
      <c r="B32" s="23"/>
      <c r="C32" s="11" t="s">
        <v>0</v>
      </c>
      <c r="D32" s="11">
        <v>7</v>
      </c>
      <c r="E32" s="11">
        <v>5</v>
      </c>
      <c r="F32" s="11">
        <f>D32+E32</f>
        <v>12</v>
      </c>
      <c r="I32" s="10"/>
      <c r="J32" s="10"/>
      <c r="K32" s="10"/>
      <c r="L32" s="10"/>
    </row>
    <row r="33" spans="2:12" x14ac:dyDescent="0.25">
      <c r="C33" s="4"/>
      <c r="D33" s="4"/>
      <c r="E33" s="4"/>
      <c r="F33" s="4"/>
      <c r="I33" s="19"/>
      <c r="J33" s="19"/>
      <c r="K33" s="19"/>
      <c r="L33" s="19"/>
    </row>
    <row r="34" spans="2:12" x14ac:dyDescent="0.25">
      <c r="C34" s="4"/>
      <c r="D34" s="4"/>
      <c r="E34" s="4"/>
      <c r="F34" s="4"/>
      <c r="I34" s="19"/>
      <c r="J34" s="19"/>
      <c r="K34" s="19"/>
      <c r="L34" s="19"/>
    </row>
    <row r="35" spans="2:12" x14ac:dyDescent="0.25">
      <c r="C35" s="4"/>
      <c r="D35" s="16" t="s">
        <v>19</v>
      </c>
      <c r="E35" s="16" t="s">
        <v>23</v>
      </c>
      <c r="F35" s="4"/>
      <c r="I35" s="19"/>
      <c r="J35" s="19"/>
      <c r="K35" s="19"/>
      <c r="L35" s="19"/>
    </row>
    <row r="36" spans="2:12" x14ac:dyDescent="0.25">
      <c r="C36" s="4"/>
      <c r="D36" s="16"/>
      <c r="E36" s="16"/>
      <c r="F36" s="4"/>
      <c r="I36" s="19"/>
      <c r="J36" s="19"/>
      <c r="K36" s="19"/>
      <c r="L36" s="19"/>
    </row>
    <row r="37" spans="2:12" x14ac:dyDescent="0.25">
      <c r="C37" s="4"/>
      <c r="D37" s="22" t="s">
        <v>21</v>
      </c>
      <c r="E37" s="22"/>
      <c r="F37" s="4"/>
      <c r="I37" s="19"/>
      <c r="J37" s="19"/>
      <c r="K37" s="19"/>
      <c r="L37" s="19"/>
    </row>
    <row r="38" spans="2:12" x14ac:dyDescent="0.25">
      <c r="C38" s="11"/>
      <c r="D38" s="11" t="s">
        <v>1</v>
      </c>
      <c r="E38" s="11" t="s">
        <v>0</v>
      </c>
      <c r="F38" s="11"/>
      <c r="I38" s="10"/>
      <c r="J38" s="10"/>
      <c r="K38" s="10"/>
      <c r="L38" s="10"/>
    </row>
    <row r="39" spans="2:12" x14ac:dyDescent="0.25">
      <c r="B39" s="23" t="s">
        <v>5</v>
      </c>
      <c r="C39" s="11" t="s">
        <v>1</v>
      </c>
      <c r="D39" s="11">
        <v>0.7</v>
      </c>
      <c r="E39" s="14">
        <v>0.1</v>
      </c>
      <c r="F39" s="11">
        <f>D39+E39</f>
        <v>0.79999999999999993</v>
      </c>
      <c r="I39" s="10"/>
      <c r="J39" s="10"/>
      <c r="K39" s="10"/>
      <c r="L39" s="10"/>
    </row>
    <row r="40" spans="2:12" x14ac:dyDescent="0.25">
      <c r="B40" s="23"/>
      <c r="C40" s="11" t="s">
        <v>0</v>
      </c>
      <c r="D40" s="11">
        <v>0.7</v>
      </c>
      <c r="E40" s="13">
        <v>0.5</v>
      </c>
      <c r="F40" s="11">
        <f>D40+E40</f>
        <v>1.2</v>
      </c>
      <c r="I40" s="10"/>
      <c r="J40" s="10"/>
      <c r="K40" s="10"/>
      <c r="L40" s="10"/>
    </row>
    <row r="41" spans="2:12" x14ac:dyDescent="0.25">
      <c r="C41" s="4"/>
      <c r="D41" s="4"/>
      <c r="E41" s="4"/>
      <c r="F41" s="4"/>
      <c r="I41" s="19"/>
      <c r="J41" s="19"/>
      <c r="K41" s="19"/>
      <c r="L41" s="19"/>
    </row>
    <row r="42" spans="2:12" x14ac:dyDescent="0.25">
      <c r="C42" s="4"/>
      <c r="D42" s="15" t="s">
        <v>10</v>
      </c>
      <c r="E42" s="15" t="s">
        <v>22</v>
      </c>
      <c r="F42" s="4"/>
      <c r="I42" s="19"/>
      <c r="J42" s="19"/>
      <c r="K42" s="19"/>
      <c r="L42" s="19"/>
    </row>
    <row r="43" spans="2:12" x14ac:dyDescent="0.25">
      <c r="C43" s="4"/>
      <c r="D43" s="4"/>
      <c r="E43" s="4"/>
      <c r="F43" s="4"/>
      <c r="I43" s="19"/>
      <c r="J43" s="19"/>
      <c r="K43" s="19"/>
      <c r="L43" s="19"/>
    </row>
    <row r="44" spans="2:12" x14ac:dyDescent="0.25">
      <c r="C44" s="4"/>
      <c r="D44" s="17" t="s">
        <v>12</v>
      </c>
      <c r="E44" s="18">
        <f>(D31+E32)/(F31+F32)</f>
        <v>0.6</v>
      </c>
      <c r="F44" s="4"/>
      <c r="I44" s="19"/>
      <c r="J44" s="19"/>
      <c r="K44" s="19"/>
      <c r="L44" s="19"/>
    </row>
  </sheetData>
  <mergeCells count="4">
    <mergeCell ref="D29:E29"/>
    <mergeCell ref="B31:B32"/>
    <mergeCell ref="D37:E37"/>
    <mergeCell ref="B39:B4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opLeftCell="A25" zoomScale="120" zoomScaleNormal="120" workbookViewId="0">
      <selection activeCell="D15" sqref="D5:D15"/>
    </sheetView>
  </sheetViews>
  <sheetFormatPr baseColWidth="10" defaultColWidth="9.140625" defaultRowHeight="12.75" x14ac:dyDescent="0.25"/>
  <cols>
    <col min="1" max="1" width="2.140625" style="4" customWidth="1"/>
    <col min="2" max="2" width="5.140625" style="5" customWidth="1"/>
    <col min="3" max="3" width="7.140625" style="5" customWidth="1"/>
    <col min="4" max="4" width="13.140625" style="5" customWidth="1"/>
    <col min="5" max="5" width="12.5703125" style="5" bestFit="1" customWidth="1"/>
    <col min="6" max="6" width="7.7109375" style="5" customWidth="1"/>
    <col min="7" max="7" width="4.5703125" style="4" customWidth="1"/>
    <col min="8" max="8" width="12.85546875" style="1" bestFit="1" customWidth="1"/>
    <col min="9" max="9" width="10.5703125" style="1" bestFit="1" customWidth="1"/>
    <col min="10" max="10" width="8" style="1" customWidth="1"/>
    <col min="11" max="12" width="9.140625" style="1"/>
    <col min="13" max="13" width="9.140625" style="1" customWidth="1"/>
    <col min="14" max="16" width="9.140625" style="1"/>
    <col min="17" max="17" width="3.42578125" style="1" customWidth="1"/>
    <col min="18" max="16384" width="9.140625" style="4"/>
  </cols>
  <sheetData>
    <row r="1" spans="1:10" x14ac:dyDescent="0.25">
      <c r="G1" s="1" t="s">
        <v>2</v>
      </c>
      <c r="I1" s="1" t="s">
        <v>3</v>
      </c>
      <c r="J1" s="2">
        <v>0.1</v>
      </c>
    </row>
    <row r="2" spans="1:10" x14ac:dyDescent="0.25">
      <c r="G2" s="1"/>
      <c r="J2" s="2"/>
    </row>
    <row r="3" spans="1:10" ht="13.5" customHeight="1" x14ac:dyDescent="0.25">
      <c r="A3" s="1"/>
      <c r="B3"/>
      <c r="C3" s="6"/>
      <c r="D3" s="6"/>
      <c r="E3" s="6"/>
      <c r="F3" s="6"/>
      <c r="H3" s="3" t="s">
        <v>9</v>
      </c>
      <c r="I3" s="3" t="s">
        <v>10</v>
      </c>
    </row>
    <row r="4" spans="1:10" ht="48.75" customHeight="1" x14ac:dyDescent="0.25">
      <c r="A4" s="1"/>
      <c r="B4" s="3" t="s">
        <v>11</v>
      </c>
      <c r="C4" s="12" t="s">
        <v>5</v>
      </c>
      <c r="D4" s="12" t="s">
        <v>6</v>
      </c>
      <c r="E4" s="12" t="s">
        <v>18</v>
      </c>
      <c r="F4" s="12" t="s">
        <v>7</v>
      </c>
      <c r="G4" s="1"/>
      <c r="H4" s="7">
        <v>0</v>
      </c>
      <c r="I4" s="7">
        <v>0</v>
      </c>
    </row>
    <row r="5" spans="1:10" ht="11.25" customHeight="1" x14ac:dyDescent="0.25">
      <c r="A5" s="1"/>
      <c r="B5" s="8">
        <v>1</v>
      </c>
      <c r="C5" s="8" t="s">
        <v>0</v>
      </c>
      <c r="D5" s="8">
        <v>0.9</v>
      </c>
      <c r="E5" s="8" t="s">
        <v>0</v>
      </c>
      <c r="F5" s="8">
        <f t="shared" ref="F5:F24" si="0">IF(C5=E5,1,0)</f>
        <v>1</v>
      </c>
      <c r="G5" s="6"/>
      <c r="H5" s="7">
        <f t="shared" ref="H5:H24" si="1">IF(C5="N",H4+$J$1,H4)</f>
        <v>0</v>
      </c>
      <c r="I5" s="7">
        <f t="shared" ref="I5:I24" si="2">IF(C5="N",I4,I4+$J$1)</f>
        <v>0.1</v>
      </c>
    </row>
    <row r="6" spans="1:10" ht="11.25" customHeight="1" x14ac:dyDescent="0.25">
      <c r="A6" s="1"/>
      <c r="B6" s="8">
        <v>2</v>
      </c>
      <c r="C6" s="8" t="s">
        <v>0</v>
      </c>
      <c r="D6" s="8">
        <v>0.8</v>
      </c>
      <c r="E6" s="8" t="s">
        <v>0</v>
      </c>
      <c r="F6" s="8">
        <f t="shared" si="0"/>
        <v>1</v>
      </c>
      <c r="G6" s="1"/>
      <c r="H6" s="7">
        <f t="shared" si="1"/>
        <v>0</v>
      </c>
      <c r="I6" s="7">
        <f t="shared" si="2"/>
        <v>0.2</v>
      </c>
    </row>
    <row r="7" spans="1:10" ht="11.25" customHeight="1" x14ac:dyDescent="0.25">
      <c r="A7" s="1"/>
      <c r="B7" s="8">
        <v>3</v>
      </c>
      <c r="C7" s="8" t="s">
        <v>1</v>
      </c>
      <c r="D7" s="8">
        <v>0.7</v>
      </c>
      <c r="E7" s="8" t="s">
        <v>0</v>
      </c>
      <c r="F7" s="8">
        <f t="shared" si="0"/>
        <v>0</v>
      </c>
      <c r="G7" s="1"/>
      <c r="H7" s="7">
        <f t="shared" si="1"/>
        <v>0.1</v>
      </c>
      <c r="I7" s="7">
        <f t="shared" si="2"/>
        <v>0.2</v>
      </c>
    </row>
    <row r="8" spans="1:10" ht="11.25" customHeight="1" x14ac:dyDescent="0.25">
      <c r="A8" s="1"/>
      <c r="B8" s="8">
        <v>4</v>
      </c>
      <c r="C8" s="8" t="s">
        <v>0</v>
      </c>
      <c r="D8" s="8">
        <v>0.6</v>
      </c>
      <c r="E8" s="8" t="s">
        <v>0</v>
      </c>
      <c r="F8" s="8">
        <f t="shared" si="0"/>
        <v>1</v>
      </c>
      <c r="G8" s="1"/>
      <c r="H8" s="7">
        <f t="shared" si="1"/>
        <v>0.1</v>
      </c>
      <c r="I8" s="7">
        <f t="shared" si="2"/>
        <v>0.30000000000000004</v>
      </c>
    </row>
    <row r="9" spans="1:10" ht="11.25" customHeight="1" x14ac:dyDescent="0.25">
      <c r="A9" s="1"/>
      <c r="B9" s="8">
        <v>5</v>
      </c>
      <c r="C9" s="8" t="s">
        <v>0</v>
      </c>
      <c r="D9" s="8">
        <v>0.55000000000000004</v>
      </c>
      <c r="E9" s="8" t="s">
        <v>0</v>
      </c>
      <c r="F9" s="8">
        <f t="shared" si="0"/>
        <v>1</v>
      </c>
      <c r="G9" s="1"/>
      <c r="H9" s="7">
        <f t="shared" si="1"/>
        <v>0.1</v>
      </c>
      <c r="I9" s="7">
        <f t="shared" si="2"/>
        <v>0.4</v>
      </c>
    </row>
    <row r="10" spans="1:10" ht="11.25" customHeight="1" x14ac:dyDescent="0.25">
      <c r="A10" s="1"/>
      <c r="B10" s="8">
        <v>6</v>
      </c>
      <c r="C10" s="8" t="s">
        <v>0</v>
      </c>
      <c r="D10" s="8">
        <v>0.54</v>
      </c>
      <c r="E10" s="8" t="s">
        <v>0</v>
      </c>
      <c r="F10" s="8">
        <f t="shared" si="0"/>
        <v>1</v>
      </c>
      <c r="G10" s="1"/>
      <c r="H10" s="7">
        <f t="shared" si="1"/>
        <v>0.1</v>
      </c>
      <c r="I10" s="7">
        <f t="shared" si="2"/>
        <v>0.5</v>
      </c>
    </row>
    <row r="11" spans="1:10" ht="11.25" customHeight="1" x14ac:dyDescent="0.25">
      <c r="A11" s="1"/>
      <c r="B11" s="8">
        <v>7</v>
      </c>
      <c r="C11" s="8" t="s">
        <v>1</v>
      </c>
      <c r="D11" s="8">
        <v>0.53</v>
      </c>
      <c r="E11" s="8" t="s">
        <v>0</v>
      </c>
      <c r="F11" s="8">
        <f t="shared" si="0"/>
        <v>0</v>
      </c>
      <c r="G11" s="1"/>
      <c r="H11" s="7">
        <f t="shared" si="1"/>
        <v>0.2</v>
      </c>
      <c r="I11" s="7">
        <f t="shared" si="2"/>
        <v>0.5</v>
      </c>
    </row>
    <row r="12" spans="1:10" ht="11.25" customHeight="1" x14ac:dyDescent="0.25">
      <c r="A12" s="1"/>
      <c r="B12" s="8">
        <v>8</v>
      </c>
      <c r="C12" s="8" t="s">
        <v>1</v>
      </c>
      <c r="D12" s="8">
        <v>0.52</v>
      </c>
      <c r="E12" s="8" t="s">
        <v>0</v>
      </c>
      <c r="F12" s="8">
        <f t="shared" si="0"/>
        <v>0</v>
      </c>
      <c r="G12" s="1"/>
      <c r="H12" s="7">
        <f t="shared" si="1"/>
        <v>0.30000000000000004</v>
      </c>
      <c r="I12" s="7">
        <f t="shared" si="2"/>
        <v>0.5</v>
      </c>
    </row>
    <row r="13" spans="1:10" ht="11.25" customHeight="1" x14ac:dyDescent="0.25">
      <c r="A13" s="1"/>
      <c r="B13" s="8">
        <v>9</v>
      </c>
      <c r="C13" s="8" t="s">
        <v>0</v>
      </c>
      <c r="D13" s="8">
        <v>0.51</v>
      </c>
      <c r="E13" s="8" t="s">
        <v>0</v>
      </c>
      <c r="F13" s="8">
        <f t="shared" si="0"/>
        <v>1</v>
      </c>
      <c r="G13" s="1"/>
      <c r="H13" s="7">
        <f t="shared" si="1"/>
        <v>0.30000000000000004</v>
      </c>
      <c r="I13" s="7">
        <f t="shared" si="2"/>
        <v>0.6</v>
      </c>
    </row>
    <row r="14" spans="1:10" ht="11.25" customHeight="1" x14ac:dyDescent="0.25">
      <c r="A14" s="1"/>
      <c r="B14" s="8">
        <v>10</v>
      </c>
      <c r="C14" s="8" t="s">
        <v>1</v>
      </c>
      <c r="D14" s="8">
        <v>0.505</v>
      </c>
      <c r="E14" s="8" t="s">
        <v>0</v>
      </c>
      <c r="F14" s="8">
        <f t="shared" si="0"/>
        <v>0</v>
      </c>
      <c r="G14" s="1"/>
      <c r="H14" s="7">
        <f t="shared" si="1"/>
        <v>0.4</v>
      </c>
      <c r="I14" s="7">
        <f t="shared" si="2"/>
        <v>0.6</v>
      </c>
    </row>
    <row r="15" spans="1:10" ht="11.25" customHeight="1" x14ac:dyDescent="0.25">
      <c r="A15" s="1"/>
      <c r="B15" s="9">
        <v>11</v>
      </c>
      <c r="C15" s="9" t="s">
        <v>0</v>
      </c>
      <c r="D15" s="9">
        <v>0.4</v>
      </c>
      <c r="E15" s="8" t="s">
        <v>0</v>
      </c>
      <c r="F15" s="8">
        <f t="shared" si="0"/>
        <v>1</v>
      </c>
      <c r="G15" s="1"/>
      <c r="H15" s="21">
        <f t="shared" si="1"/>
        <v>0.4</v>
      </c>
      <c r="I15" s="20">
        <f t="shared" si="2"/>
        <v>0.7</v>
      </c>
    </row>
    <row r="16" spans="1:10" ht="11.25" customHeight="1" x14ac:dyDescent="0.25">
      <c r="A16" s="1"/>
      <c r="B16" s="8">
        <v>12</v>
      </c>
      <c r="C16" s="8" t="s">
        <v>1</v>
      </c>
      <c r="D16" s="8">
        <v>0.39</v>
      </c>
      <c r="E16" s="8" t="s">
        <v>1</v>
      </c>
      <c r="F16" s="8">
        <f t="shared" si="0"/>
        <v>1</v>
      </c>
      <c r="G16" s="1"/>
      <c r="H16" s="7">
        <f t="shared" si="1"/>
        <v>0.5</v>
      </c>
      <c r="I16" s="7">
        <f t="shared" si="2"/>
        <v>0.7</v>
      </c>
    </row>
    <row r="17" spans="1:12" ht="11.25" customHeight="1" x14ac:dyDescent="0.25">
      <c r="A17" s="1"/>
      <c r="B17" s="8">
        <v>13</v>
      </c>
      <c r="C17" s="8" t="s">
        <v>0</v>
      </c>
      <c r="D17" s="8">
        <v>0.38</v>
      </c>
      <c r="E17" s="8" t="s">
        <v>1</v>
      </c>
      <c r="F17" s="8">
        <f t="shared" si="0"/>
        <v>0</v>
      </c>
      <c r="G17" s="1"/>
      <c r="H17" s="7">
        <f t="shared" si="1"/>
        <v>0.5</v>
      </c>
      <c r="I17" s="7">
        <f t="shared" si="2"/>
        <v>0.79999999999999993</v>
      </c>
    </row>
    <row r="18" spans="1:12" ht="11.25" customHeight="1" x14ac:dyDescent="0.25">
      <c r="A18" s="1"/>
      <c r="B18" s="8">
        <v>14</v>
      </c>
      <c r="C18" s="8" t="s">
        <v>1</v>
      </c>
      <c r="D18" s="8">
        <v>0.37</v>
      </c>
      <c r="E18" s="8" t="s">
        <v>1</v>
      </c>
      <c r="F18" s="8">
        <f t="shared" si="0"/>
        <v>1</v>
      </c>
      <c r="G18" s="1"/>
      <c r="H18" s="7">
        <f t="shared" si="1"/>
        <v>0.6</v>
      </c>
      <c r="I18" s="7">
        <f t="shared" si="2"/>
        <v>0.79999999999999993</v>
      </c>
    </row>
    <row r="19" spans="1:12" ht="11.25" customHeight="1" x14ac:dyDescent="0.25">
      <c r="A19" s="1"/>
      <c r="B19" s="8">
        <v>15</v>
      </c>
      <c r="C19" s="8" t="s">
        <v>1</v>
      </c>
      <c r="D19" s="8">
        <v>0.36</v>
      </c>
      <c r="E19" s="8" t="s">
        <v>1</v>
      </c>
      <c r="F19" s="8">
        <f t="shared" si="0"/>
        <v>1</v>
      </c>
      <c r="G19" s="1"/>
      <c r="H19" s="7">
        <f t="shared" si="1"/>
        <v>0.7</v>
      </c>
      <c r="I19" s="7">
        <f t="shared" si="2"/>
        <v>0.79999999999999993</v>
      </c>
    </row>
    <row r="20" spans="1:12" ht="11.25" customHeight="1" x14ac:dyDescent="0.25">
      <c r="A20" s="1"/>
      <c r="B20" s="8">
        <v>16</v>
      </c>
      <c r="C20" s="8" t="s">
        <v>1</v>
      </c>
      <c r="D20" s="8">
        <v>0.35</v>
      </c>
      <c r="E20" s="8" t="s">
        <v>1</v>
      </c>
      <c r="F20" s="8">
        <f t="shared" si="0"/>
        <v>1</v>
      </c>
      <c r="G20" s="1"/>
      <c r="H20" s="7">
        <f t="shared" si="1"/>
        <v>0.79999999999999993</v>
      </c>
      <c r="I20" s="7">
        <f t="shared" si="2"/>
        <v>0.79999999999999993</v>
      </c>
    </row>
    <row r="21" spans="1:12" ht="11.25" customHeight="1" x14ac:dyDescent="0.25">
      <c r="A21" s="1"/>
      <c r="B21" s="8">
        <v>17</v>
      </c>
      <c r="C21" s="8" t="s">
        <v>0</v>
      </c>
      <c r="D21" s="8">
        <v>0.34</v>
      </c>
      <c r="E21" s="8" t="s">
        <v>1</v>
      </c>
      <c r="F21" s="8">
        <f t="shared" si="0"/>
        <v>0</v>
      </c>
      <c r="G21" s="1"/>
      <c r="H21" s="7">
        <f t="shared" si="1"/>
        <v>0.79999999999999993</v>
      </c>
      <c r="I21" s="7">
        <f t="shared" si="2"/>
        <v>0.89999999999999991</v>
      </c>
    </row>
    <row r="22" spans="1:12" ht="11.25" customHeight="1" x14ac:dyDescent="0.25">
      <c r="A22" s="1"/>
      <c r="B22" s="8">
        <v>18</v>
      </c>
      <c r="C22" s="8" t="s">
        <v>1</v>
      </c>
      <c r="D22" s="8">
        <v>0.33</v>
      </c>
      <c r="E22" s="8" t="s">
        <v>1</v>
      </c>
      <c r="F22" s="8">
        <f t="shared" si="0"/>
        <v>1</v>
      </c>
      <c r="G22" s="1"/>
      <c r="H22" s="7">
        <f t="shared" si="1"/>
        <v>0.89999999999999991</v>
      </c>
      <c r="I22" s="7">
        <f t="shared" si="2"/>
        <v>0.89999999999999991</v>
      </c>
    </row>
    <row r="23" spans="1:12" ht="11.25" customHeight="1" x14ac:dyDescent="0.25">
      <c r="A23" s="1"/>
      <c r="B23" s="8">
        <v>19</v>
      </c>
      <c r="C23" s="8" t="s">
        <v>0</v>
      </c>
      <c r="D23" s="8">
        <v>0.3</v>
      </c>
      <c r="E23" s="8" t="s">
        <v>1</v>
      </c>
      <c r="F23" s="8">
        <f t="shared" si="0"/>
        <v>0</v>
      </c>
      <c r="G23" s="1"/>
      <c r="H23" s="7">
        <f t="shared" si="1"/>
        <v>0.89999999999999991</v>
      </c>
      <c r="I23" s="7">
        <f t="shared" si="2"/>
        <v>0.99999999999999989</v>
      </c>
    </row>
    <row r="24" spans="1:12" ht="11.25" customHeight="1" x14ac:dyDescent="0.25">
      <c r="A24" s="1"/>
      <c r="B24" s="8">
        <v>20</v>
      </c>
      <c r="C24" s="8" t="s">
        <v>1</v>
      </c>
      <c r="D24" s="8">
        <v>0.1</v>
      </c>
      <c r="E24" s="8" t="s">
        <v>1</v>
      </c>
      <c r="F24" s="8">
        <f t="shared" si="0"/>
        <v>1</v>
      </c>
      <c r="G24" s="1"/>
      <c r="H24" s="7">
        <f t="shared" si="1"/>
        <v>0.99999999999999989</v>
      </c>
      <c r="I24" s="7">
        <f t="shared" si="2"/>
        <v>0.99999999999999989</v>
      </c>
    </row>
    <row r="25" spans="1:12" x14ac:dyDescent="0.25">
      <c r="A25" s="1"/>
      <c r="B25" s="6"/>
      <c r="C25" s="6"/>
      <c r="D25" s="6"/>
      <c r="E25" s="6" t="s">
        <v>8</v>
      </c>
      <c r="F25" s="10">
        <f>SUM(F5:F24) / 20</f>
        <v>0.65</v>
      </c>
      <c r="G25" s="1"/>
    </row>
    <row r="26" spans="1:12" x14ac:dyDescent="0.25">
      <c r="A26" s="1"/>
      <c r="B26" s="6"/>
      <c r="C26" s="6"/>
      <c r="D26" s="6"/>
      <c r="E26" s="6"/>
      <c r="F26" s="6"/>
      <c r="G26" s="1"/>
    </row>
    <row r="28" spans="1:12" x14ac:dyDescent="0.25">
      <c r="C28" s="4" t="s">
        <v>17</v>
      </c>
      <c r="D28" s="4"/>
      <c r="E28" s="4"/>
      <c r="F28" s="4"/>
      <c r="I28" s="19"/>
      <c r="J28" s="19"/>
      <c r="K28" s="19"/>
      <c r="L28" s="19"/>
    </row>
    <row r="29" spans="1:12" x14ac:dyDescent="0.25">
      <c r="C29" s="4"/>
      <c r="D29" s="22" t="s">
        <v>21</v>
      </c>
      <c r="E29" s="22"/>
      <c r="F29" s="4"/>
      <c r="I29" s="19"/>
      <c r="J29" s="19"/>
      <c r="K29" s="19"/>
      <c r="L29" s="19"/>
    </row>
    <row r="30" spans="1:12" x14ac:dyDescent="0.25">
      <c r="C30" s="11"/>
      <c r="D30" s="11" t="s">
        <v>1</v>
      </c>
      <c r="E30" s="11" t="s">
        <v>0</v>
      </c>
      <c r="F30" s="11"/>
      <c r="I30" s="10"/>
      <c r="J30" s="10"/>
      <c r="K30" s="10"/>
      <c r="L30" s="10"/>
    </row>
    <row r="31" spans="1:12" x14ac:dyDescent="0.25">
      <c r="B31" s="23" t="s">
        <v>5</v>
      </c>
      <c r="C31" s="11" t="s">
        <v>1</v>
      </c>
      <c r="D31" s="11">
        <v>6</v>
      </c>
      <c r="E31" s="11">
        <v>4</v>
      </c>
      <c r="F31" s="11">
        <f>D31+E31</f>
        <v>10</v>
      </c>
      <c r="I31" s="10"/>
      <c r="J31" s="10"/>
      <c r="K31" s="10"/>
      <c r="L31" s="10"/>
    </row>
    <row r="32" spans="1:12" x14ac:dyDescent="0.25">
      <c r="B32" s="23"/>
      <c r="C32" s="11" t="s">
        <v>0</v>
      </c>
      <c r="D32" s="11">
        <v>3</v>
      </c>
      <c r="E32" s="11">
        <v>7</v>
      </c>
      <c r="F32" s="11">
        <f>D32+E32</f>
        <v>10</v>
      </c>
      <c r="I32" s="10"/>
      <c r="J32" s="10"/>
      <c r="K32" s="10"/>
      <c r="L32" s="10"/>
    </row>
    <row r="33" spans="2:12" x14ac:dyDescent="0.25">
      <c r="C33" s="4"/>
      <c r="D33" s="4"/>
      <c r="E33" s="4"/>
      <c r="F33" s="4"/>
      <c r="I33" s="19"/>
      <c r="J33" s="19"/>
      <c r="K33" s="19"/>
      <c r="L33" s="19"/>
    </row>
    <row r="34" spans="2:12" x14ac:dyDescent="0.25">
      <c r="C34" s="4"/>
      <c r="D34" s="4"/>
      <c r="E34" s="4"/>
      <c r="F34" s="4"/>
      <c r="I34" s="19"/>
      <c r="J34" s="19"/>
      <c r="K34" s="19"/>
      <c r="L34" s="19"/>
    </row>
    <row r="35" spans="2:12" x14ac:dyDescent="0.25">
      <c r="C35" s="4"/>
      <c r="D35" s="16" t="s">
        <v>20</v>
      </c>
      <c r="E35" s="16" t="s">
        <v>16</v>
      </c>
      <c r="F35" s="4"/>
      <c r="I35" s="19"/>
      <c r="J35" s="19"/>
      <c r="K35" s="19"/>
      <c r="L35" s="19"/>
    </row>
    <row r="36" spans="2:12" x14ac:dyDescent="0.25">
      <c r="C36" s="4"/>
      <c r="D36" s="16"/>
      <c r="E36" s="16"/>
      <c r="F36" s="4"/>
      <c r="I36" s="19"/>
      <c r="J36" s="19"/>
      <c r="K36" s="19"/>
      <c r="L36" s="19"/>
    </row>
    <row r="37" spans="2:12" x14ac:dyDescent="0.25">
      <c r="C37" s="4"/>
      <c r="D37" s="22" t="s">
        <v>21</v>
      </c>
      <c r="E37" s="22"/>
      <c r="F37" s="4"/>
      <c r="I37" s="19"/>
      <c r="J37" s="19"/>
      <c r="K37" s="19"/>
      <c r="L37" s="19"/>
    </row>
    <row r="38" spans="2:12" x14ac:dyDescent="0.25">
      <c r="C38" s="11"/>
      <c r="D38" s="11" t="s">
        <v>1</v>
      </c>
      <c r="E38" s="11" t="s">
        <v>0</v>
      </c>
      <c r="F38" s="11"/>
      <c r="I38" s="10"/>
      <c r="J38" s="10"/>
      <c r="K38" s="10"/>
      <c r="L38" s="10"/>
    </row>
    <row r="39" spans="2:12" x14ac:dyDescent="0.25">
      <c r="B39" s="23" t="s">
        <v>5</v>
      </c>
      <c r="C39" s="11" t="s">
        <v>1</v>
      </c>
      <c r="D39" s="11">
        <v>0.6</v>
      </c>
      <c r="E39" s="14">
        <v>0.4</v>
      </c>
      <c r="F39" s="11">
        <f>D39+E39</f>
        <v>1</v>
      </c>
      <c r="I39" s="10"/>
      <c r="J39" s="10"/>
      <c r="K39" s="10"/>
      <c r="L39" s="10"/>
    </row>
    <row r="40" spans="2:12" x14ac:dyDescent="0.25">
      <c r="B40" s="23"/>
      <c r="C40" s="11" t="s">
        <v>0</v>
      </c>
      <c r="D40" s="11">
        <v>0.3</v>
      </c>
      <c r="E40" s="13">
        <v>0.7</v>
      </c>
      <c r="F40" s="11">
        <f>D40+E40</f>
        <v>1</v>
      </c>
      <c r="I40" s="10"/>
      <c r="J40" s="10"/>
      <c r="K40" s="10"/>
      <c r="L40" s="10"/>
    </row>
    <row r="41" spans="2:12" x14ac:dyDescent="0.25">
      <c r="C41" s="4"/>
      <c r="D41" s="4"/>
      <c r="E41" s="4"/>
      <c r="F41" s="4"/>
      <c r="I41" s="19"/>
      <c r="J41" s="19"/>
      <c r="K41" s="19"/>
      <c r="L41" s="19"/>
    </row>
    <row r="42" spans="2:12" x14ac:dyDescent="0.25">
      <c r="C42" s="4"/>
      <c r="D42" s="15" t="s">
        <v>10</v>
      </c>
      <c r="E42" s="15" t="s">
        <v>15</v>
      </c>
      <c r="F42" s="4"/>
      <c r="I42" s="19"/>
      <c r="J42" s="19"/>
      <c r="K42" s="19"/>
      <c r="L42" s="19"/>
    </row>
    <row r="43" spans="2:12" x14ac:dyDescent="0.25">
      <c r="C43" s="4"/>
      <c r="D43" s="4"/>
      <c r="E43" s="4"/>
      <c r="F43" s="4"/>
      <c r="I43" s="19"/>
      <c r="J43" s="19"/>
      <c r="K43" s="19"/>
      <c r="L43" s="19"/>
    </row>
    <row r="44" spans="2:12" x14ac:dyDescent="0.25">
      <c r="C44" s="4"/>
      <c r="D44" s="17" t="s">
        <v>12</v>
      </c>
      <c r="E44" s="18">
        <f>(D31+E32)/(F31+F32)</f>
        <v>0.65</v>
      </c>
      <c r="F44" s="4"/>
      <c r="I44" s="19"/>
      <c r="J44" s="19"/>
      <c r="K44" s="19"/>
      <c r="L44" s="19"/>
    </row>
  </sheetData>
  <mergeCells count="4">
    <mergeCell ref="D29:E29"/>
    <mergeCell ref="B31:B32"/>
    <mergeCell ref="D37:E37"/>
    <mergeCell ref="B39:B4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4"/>
  <sheetViews>
    <sheetView topLeftCell="A19" zoomScale="120" zoomScaleNormal="120" workbookViewId="0">
      <selection activeCell="H40" sqref="H40"/>
    </sheetView>
  </sheetViews>
  <sheetFormatPr baseColWidth="10" defaultColWidth="9.140625" defaultRowHeight="12.75" x14ac:dyDescent="0.25"/>
  <cols>
    <col min="1" max="1" width="2.140625" style="4" customWidth="1"/>
    <col min="2" max="2" width="5.140625" style="5" customWidth="1"/>
    <col min="3" max="3" width="7.140625" style="5" customWidth="1"/>
    <col min="4" max="4" width="13.42578125" style="5" customWidth="1"/>
    <col min="5" max="5" width="12.5703125" style="5" bestFit="1" customWidth="1"/>
    <col min="6" max="6" width="7.7109375" style="5" customWidth="1"/>
    <col min="7" max="7" width="4.5703125" style="4" customWidth="1"/>
    <col min="8" max="8" width="12.85546875" style="1" bestFit="1" customWidth="1"/>
    <col min="9" max="9" width="10.5703125" style="1" bestFit="1" customWidth="1"/>
    <col min="10" max="10" width="8" style="1" customWidth="1"/>
    <col min="11" max="12" width="9.140625" style="1"/>
    <col min="13" max="13" width="9.140625" style="1" customWidth="1"/>
    <col min="14" max="16" width="9.140625" style="1"/>
    <col min="17" max="17" width="3.42578125" style="1" customWidth="1"/>
    <col min="18" max="16384" width="9.140625" style="4"/>
  </cols>
  <sheetData>
    <row r="1" spans="1:10" x14ac:dyDescent="0.25">
      <c r="G1" s="1" t="s">
        <v>2</v>
      </c>
      <c r="I1" s="1" t="s">
        <v>3</v>
      </c>
      <c r="J1" s="2">
        <v>0.1</v>
      </c>
    </row>
    <row r="2" spans="1:10" x14ac:dyDescent="0.25">
      <c r="G2" s="1"/>
      <c r="J2" s="2"/>
    </row>
    <row r="3" spans="1:10" ht="13.5" customHeight="1" x14ac:dyDescent="0.25">
      <c r="A3" s="1"/>
      <c r="B3"/>
      <c r="C3" s="6"/>
      <c r="D3" s="6"/>
      <c r="E3" s="6"/>
      <c r="F3" s="6"/>
      <c r="H3" s="3" t="s">
        <v>9</v>
      </c>
      <c r="I3" s="3" t="s">
        <v>10</v>
      </c>
    </row>
    <row r="4" spans="1:10" ht="48.75" customHeight="1" x14ac:dyDescent="0.25">
      <c r="A4" s="1"/>
      <c r="B4" s="3" t="s">
        <v>11</v>
      </c>
      <c r="C4" s="12" t="s">
        <v>5</v>
      </c>
      <c r="D4" s="12" t="s">
        <v>6</v>
      </c>
      <c r="E4" s="12" t="s">
        <v>13</v>
      </c>
      <c r="F4" s="12" t="s">
        <v>7</v>
      </c>
      <c r="G4" s="1"/>
      <c r="H4" s="7">
        <v>0</v>
      </c>
      <c r="I4" s="7">
        <v>0</v>
      </c>
    </row>
    <row r="5" spans="1:10" ht="11.25" customHeight="1" x14ac:dyDescent="0.25">
      <c r="A5" s="1"/>
      <c r="B5" s="8">
        <v>1</v>
      </c>
      <c r="C5" s="8" t="s">
        <v>0</v>
      </c>
      <c r="D5" s="8">
        <v>0.9</v>
      </c>
      <c r="E5" s="8" t="s">
        <v>0</v>
      </c>
      <c r="F5" s="8">
        <f t="shared" ref="F5:F24" si="0">IF(C5=E5,1,0)</f>
        <v>1</v>
      </c>
      <c r="G5" s="6"/>
      <c r="H5" s="7">
        <f t="shared" ref="H5:H24" si="1">IF(C5="N",H4+$J$1,H4)</f>
        <v>0</v>
      </c>
      <c r="I5" s="7">
        <f t="shared" ref="I5:I24" si="2">IF(C5="N",I4,I4+$J$1)</f>
        <v>0.1</v>
      </c>
    </row>
    <row r="6" spans="1:10" ht="11.25" customHeight="1" x14ac:dyDescent="0.25">
      <c r="A6" s="1"/>
      <c r="B6" s="8">
        <v>2</v>
      </c>
      <c r="C6" s="8" t="s">
        <v>0</v>
      </c>
      <c r="D6" s="8">
        <v>0.8</v>
      </c>
      <c r="E6" s="8" t="s">
        <v>0</v>
      </c>
      <c r="F6" s="8">
        <f t="shared" si="0"/>
        <v>1</v>
      </c>
      <c r="G6" s="1"/>
      <c r="H6" s="7">
        <f t="shared" si="1"/>
        <v>0</v>
      </c>
      <c r="I6" s="7">
        <f t="shared" si="2"/>
        <v>0.2</v>
      </c>
    </row>
    <row r="7" spans="1:10" ht="11.25" customHeight="1" x14ac:dyDescent="0.25">
      <c r="A7" s="1"/>
      <c r="B7" s="8">
        <v>3</v>
      </c>
      <c r="C7" s="8" t="s">
        <v>1</v>
      </c>
      <c r="D7" s="8">
        <v>0.7</v>
      </c>
      <c r="E7" s="8" t="s">
        <v>0</v>
      </c>
      <c r="F7" s="8">
        <f t="shared" si="0"/>
        <v>0</v>
      </c>
      <c r="G7" s="1"/>
      <c r="H7" s="7">
        <f t="shared" si="1"/>
        <v>0.1</v>
      </c>
      <c r="I7" s="7">
        <f t="shared" si="2"/>
        <v>0.2</v>
      </c>
    </row>
    <row r="8" spans="1:10" ht="11.25" customHeight="1" x14ac:dyDescent="0.25">
      <c r="A8" s="1"/>
      <c r="B8" s="8">
        <v>4</v>
      </c>
      <c r="C8" s="8" t="s">
        <v>0</v>
      </c>
      <c r="D8" s="8">
        <v>0.6</v>
      </c>
      <c r="E8" s="8" t="s">
        <v>0</v>
      </c>
      <c r="F8" s="8">
        <f t="shared" si="0"/>
        <v>1</v>
      </c>
      <c r="G8" s="1"/>
      <c r="H8" s="7">
        <f t="shared" si="1"/>
        <v>0.1</v>
      </c>
      <c r="I8" s="7">
        <f t="shared" si="2"/>
        <v>0.30000000000000004</v>
      </c>
    </row>
    <row r="9" spans="1:10" ht="11.25" customHeight="1" x14ac:dyDescent="0.25">
      <c r="A9" s="1"/>
      <c r="B9" s="8">
        <v>5</v>
      </c>
      <c r="C9" s="8" t="s">
        <v>0</v>
      </c>
      <c r="D9" s="8">
        <v>0.55000000000000004</v>
      </c>
      <c r="E9" s="8" t="s">
        <v>0</v>
      </c>
      <c r="F9" s="8">
        <f t="shared" si="0"/>
        <v>1</v>
      </c>
      <c r="G9" s="1"/>
      <c r="H9" s="7">
        <f t="shared" si="1"/>
        <v>0.1</v>
      </c>
      <c r="I9" s="7">
        <f t="shared" si="2"/>
        <v>0.4</v>
      </c>
    </row>
    <row r="10" spans="1:10" ht="11.25" customHeight="1" x14ac:dyDescent="0.25">
      <c r="A10" s="1"/>
      <c r="B10" s="8">
        <v>6</v>
      </c>
      <c r="C10" s="8" t="s">
        <v>0</v>
      </c>
      <c r="D10" s="8">
        <v>0.54</v>
      </c>
      <c r="E10" s="8" t="s">
        <v>0</v>
      </c>
      <c r="F10" s="8">
        <f t="shared" si="0"/>
        <v>1</v>
      </c>
      <c r="G10" s="1"/>
      <c r="H10" s="7">
        <f t="shared" si="1"/>
        <v>0.1</v>
      </c>
      <c r="I10" s="7">
        <f t="shared" si="2"/>
        <v>0.5</v>
      </c>
    </row>
    <row r="11" spans="1:10" ht="11.25" customHeight="1" x14ac:dyDescent="0.25">
      <c r="A11" s="1"/>
      <c r="B11" s="8">
        <v>7</v>
      </c>
      <c r="C11" s="8" t="s">
        <v>1</v>
      </c>
      <c r="D11" s="8">
        <v>0.53</v>
      </c>
      <c r="E11" s="8" t="s">
        <v>0</v>
      </c>
      <c r="F11" s="8">
        <f t="shared" si="0"/>
        <v>0</v>
      </c>
      <c r="G11" s="1"/>
      <c r="H11" s="7">
        <f t="shared" si="1"/>
        <v>0.2</v>
      </c>
      <c r="I11" s="7">
        <f t="shared" si="2"/>
        <v>0.5</v>
      </c>
    </row>
    <row r="12" spans="1:10" ht="11.25" customHeight="1" x14ac:dyDescent="0.25">
      <c r="A12" s="1"/>
      <c r="B12" s="8">
        <v>8</v>
      </c>
      <c r="C12" s="8" t="s">
        <v>1</v>
      </c>
      <c r="D12" s="8">
        <v>0.52</v>
      </c>
      <c r="E12" s="8" t="s">
        <v>0</v>
      </c>
      <c r="F12" s="8">
        <f t="shared" si="0"/>
        <v>0</v>
      </c>
      <c r="G12" s="1"/>
      <c r="H12" s="7">
        <f t="shared" si="1"/>
        <v>0.30000000000000004</v>
      </c>
      <c r="I12" s="7">
        <f t="shared" si="2"/>
        <v>0.5</v>
      </c>
    </row>
    <row r="13" spans="1:10" ht="11.25" customHeight="1" x14ac:dyDescent="0.25">
      <c r="A13" s="1"/>
      <c r="B13" s="8">
        <v>9</v>
      </c>
      <c r="C13" s="8" t="s">
        <v>0</v>
      </c>
      <c r="D13" s="8">
        <v>0.51</v>
      </c>
      <c r="E13" s="8" t="s">
        <v>0</v>
      </c>
      <c r="F13" s="8">
        <f t="shared" si="0"/>
        <v>1</v>
      </c>
      <c r="G13" s="1"/>
      <c r="H13" s="7">
        <f t="shared" si="1"/>
        <v>0.30000000000000004</v>
      </c>
      <c r="I13" s="7">
        <f t="shared" si="2"/>
        <v>0.6</v>
      </c>
    </row>
    <row r="14" spans="1:10" ht="11.25" customHeight="1" x14ac:dyDescent="0.25">
      <c r="A14" s="1"/>
      <c r="B14" s="9">
        <v>10</v>
      </c>
      <c r="C14" s="9" t="s">
        <v>1</v>
      </c>
      <c r="D14" s="9">
        <v>0.505</v>
      </c>
      <c r="E14" s="8" t="s">
        <v>0</v>
      </c>
      <c r="F14" s="8">
        <f t="shared" si="0"/>
        <v>0</v>
      </c>
      <c r="G14" s="1"/>
      <c r="H14" s="21">
        <f t="shared" si="1"/>
        <v>0.4</v>
      </c>
      <c r="I14" s="20">
        <f t="shared" si="2"/>
        <v>0.6</v>
      </c>
    </row>
    <row r="15" spans="1:10" ht="11.25" customHeight="1" x14ac:dyDescent="0.25">
      <c r="A15" s="1"/>
      <c r="B15" s="8">
        <v>11</v>
      </c>
      <c r="C15" s="8" t="s">
        <v>0</v>
      </c>
      <c r="D15" s="8">
        <v>0.4</v>
      </c>
      <c r="E15" s="8" t="s">
        <v>1</v>
      </c>
      <c r="F15" s="8">
        <f t="shared" si="0"/>
        <v>0</v>
      </c>
      <c r="G15" s="1"/>
      <c r="H15" s="7">
        <f t="shared" si="1"/>
        <v>0.4</v>
      </c>
      <c r="I15" s="7">
        <f t="shared" si="2"/>
        <v>0.7</v>
      </c>
    </row>
    <row r="16" spans="1:10" ht="11.25" customHeight="1" x14ac:dyDescent="0.25">
      <c r="A16" s="1"/>
      <c r="B16" s="8">
        <v>12</v>
      </c>
      <c r="C16" s="8" t="s">
        <v>1</v>
      </c>
      <c r="D16" s="8">
        <v>0.39</v>
      </c>
      <c r="E16" s="8" t="s">
        <v>1</v>
      </c>
      <c r="F16" s="8">
        <f t="shared" si="0"/>
        <v>1</v>
      </c>
      <c r="G16" s="1"/>
      <c r="H16" s="7">
        <f t="shared" si="1"/>
        <v>0.5</v>
      </c>
      <c r="I16" s="7">
        <f t="shared" si="2"/>
        <v>0.7</v>
      </c>
    </row>
    <row r="17" spans="1:12" ht="11.25" customHeight="1" x14ac:dyDescent="0.25">
      <c r="A17" s="1"/>
      <c r="B17" s="8">
        <v>13</v>
      </c>
      <c r="C17" s="8" t="s">
        <v>0</v>
      </c>
      <c r="D17" s="8">
        <v>0.38</v>
      </c>
      <c r="E17" s="8" t="s">
        <v>1</v>
      </c>
      <c r="F17" s="8">
        <f t="shared" si="0"/>
        <v>0</v>
      </c>
      <c r="G17" s="1"/>
      <c r="H17" s="7">
        <f t="shared" si="1"/>
        <v>0.5</v>
      </c>
      <c r="I17" s="7">
        <f t="shared" si="2"/>
        <v>0.79999999999999993</v>
      </c>
    </row>
    <row r="18" spans="1:12" ht="11.25" customHeight="1" x14ac:dyDescent="0.25">
      <c r="A18" s="1"/>
      <c r="B18" s="8">
        <v>14</v>
      </c>
      <c r="C18" s="8" t="s">
        <v>1</v>
      </c>
      <c r="D18" s="8">
        <v>0.37</v>
      </c>
      <c r="E18" s="8" t="s">
        <v>1</v>
      </c>
      <c r="F18" s="8">
        <f t="shared" si="0"/>
        <v>1</v>
      </c>
      <c r="G18" s="1"/>
      <c r="H18" s="7">
        <f t="shared" si="1"/>
        <v>0.6</v>
      </c>
      <c r="I18" s="7">
        <f t="shared" si="2"/>
        <v>0.79999999999999993</v>
      </c>
    </row>
    <row r="19" spans="1:12" ht="11.25" customHeight="1" x14ac:dyDescent="0.25">
      <c r="A19" s="1"/>
      <c r="B19" s="8">
        <v>15</v>
      </c>
      <c r="C19" s="8" t="s">
        <v>1</v>
      </c>
      <c r="D19" s="8">
        <v>0.36</v>
      </c>
      <c r="E19" s="8" t="s">
        <v>1</v>
      </c>
      <c r="F19" s="8">
        <f t="shared" si="0"/>
        <v>1</v>
      </c>
      <c r="G19" s="1"/>
      <c r="H19" s="7">
        <f t="shared" si="1"/>
        <v>0.7</v>
      </c>
      <c r="I19" s="7">
        <f t="shared" si="2"/>
        <v>0.79999999999999993</v>
      </c>
    </row>
    <row r="20" spans="1:12" ht="11.25" customHeight="1" x14ac:dyDescent="0.25">
      <c r="A20" s="1"/>
      <c r="B20" s="8">
        <v>16</v>
      </c>
      <c r="C20" s="8" t="s">
        <v>1</v>
      </c>
      <c r="D20" s="8">
        <v>0.35</v>
      </c>
      <c r="E20" s="8" t="s">
        <v>1</v>
      </c>
      <c r="F20" s="8">
        <f t="shared" si="0"/>
        <v>1</v>
      </c>
      <c r="G20" s="1"/>
      <c r="H20" s="7">
        <f t="shared" si="1"/>
        <v>0.79999999999999993</v>
      </c>
      <c r="I20" s="7">
        <f t="shared" si="2"/>
        <v>0.79999999999999993</v>
      </c>
    </row>
    <row r="21" spans="1:12" ht="11.25" customHeight="1" x14ac:dyDescent="0.25">
      <c r="A21" s="1"/>
      <c r="B21" s="8">
        <v>17</v>
      </c>
      <c r="C21" s="8" t="s">
        <v>0</v>
      </c>
      <c r="D21" s="8">
        <v>0.34</v>
      </c>
      <c r="E21" s="8" t="s">
        <v>1</v>
      </c>
      <c r="F21" s="8">
        <f t="shared" si="0"/>
        <v>0</v>
      </c>
      <c r="G21" s="1"/>
      <c r="H21" s="7">
        <f t="shared" si="1"/>
        <v>0.79999999999999993</v>
      </c>
      <c r="I21" s="7">
        <f t="shared" si="2"/>
        <v>0.89999999999999991</v>
      </c>
    </row>
    <row r="22" spans="1:12" ht="11.25" customHeight="1" x14ac:dyDescent="0.25">
      <c r="A22" s="1"/>
      <c r="B22" s="8">
        <v>18</v>
      </c>
      <c r="C22" s="8" t="s">
        <v>1</v>
      </c>
      <c r="D22" s="8">
        <v>0.33</v>
      </c>
      <c r="E22" s="8" t="s">
        <v>1</v>
      </c>
      <c r="F22" s="8">
        <f t="shared" si="0"/>
        <v>1</v>
      </c>
      <c r="G22" s="1"/>
      <c r="H22" s="7">
        <f t="shared" si="1"/>
        <v>0.89999999999999991</v>
      </c>
      <c r="I22" s="7">
        <f t="shared" si="2"/>
        <v>0.89999999999999991</v>
      </c>
    </row>
    <row r="23" spans="1:12" ht="11.25" customHeight="1" x14ac:dyDescent="0.25">
      <c r="A23" s="1"/>
      <c r="B23" s="8">
        <v>19</v>
      </c>
      <c r="C23" s="8" t="s">
        <v>0</v>
      </c>
      <c r="D23" s="8">
        <v>0.3</v>
      </c>
      <c r="E23" s="8" t="s">
        <v>1</v>
      </c>
      <c r="F23" s="8">
        <f t="shared" si="0"/>
        <v>0</v>
      </c>
      <c r="G23" s="1"/>
      <c r="H23" s="7">
        <f t="shared" si="1"/>
        <v>0.89999999999999991</v>
      </c>
      <c r="I23" s="7">
        <f t="shared" si="2"/>
        <v>0.99999999999999989</v>
      </c>
    </row>
    <row r="24" spans="1:12" ht="11.25" customHeight="1" x14ac:dyDescent="0.25">
      <c r="A24" s="1"/>
      <c r="B24" s="8">
        <v>20</v>
      </c>
      <c r="C24" s="8" t="s">
        <v>1</v>
      </c>
      <c r="D24" s="8">
        <v>0.1</v>
      </c>
      <c r="E24" s="8" t="s">
        <v>1</v>
      </c>
      <c r="F24" s="8">
        <f t="shared" si="0"/>
        <v>1</v>
      </c>
      <c r="G24" s="1"/>
      <c r="H24" s="7">
        <f t="shared" si="1"/>
        <v>0.99999999999999989</v>
      </c>
      <c r="I24" s="7">
        <f t="shared" si="2"/>
        <v>0.99999999999999989</v>
      </c>
    </row>
    <row r="25" spans="1:12" x14ac:dyDescent="0.25">
      <c r="A25" s="1"/>
      <c r="B25" s="6"/>
      <c r="C25" s="6"/>
      <c r="D25" s="6"/>
      <c r="E25" s="6" t="s">
        <v>8</v>
      </c>
      <c r="F25" s="10">
        <f>SUM(F5:F24) / 20</f>
        <v>0.6</v>
      </c>
      <c r="G25" s="1"/>
    </row>
    <row r="26" spans="1:12" x14ac:dyDescent="0.25">
      <c r="A26" s="1"/>
      <c r="B26" s="6"/>
      <c r="C26" s="6"/>
      <c r="D26" s="6"/>
      <c r="E26" s="6"/>
      <c r="F26" s="6"/>
      <c r="G26" s="1"/>
    </row>
    <row r="28" spans="1:12" x14ac:dyDescent="0.25">
      <c r="C28" s="4" t="s">
        <v>14</v>
      </c>
      <c r="D28" s="4"/>
      <c r="E28" s="4"/>
      <c r="F28" s="4"/>
      <c r="I28" s="19"/>
      <c r="J28" s="19"/>
      <c r="K28" s="19"/>
      <c r="L28" s="19"/>
    </row>
    <row r="29" spans="1:12" x14ac:dyDescent="0.25">
      <c r="C29" s="4"/>
      <c r="D29" s="22" t="s">
        <v>21</v>
      </c>
      <c r="E29" s="22"/>
      <c r="F29" s="4"/>
      <c r="I29" s="19"/>
      <c r="J29" s="19"/>
      <c r="K29" s="19"/>
      <c r="L29" s="19"/>
    </row>
    <row r="30" spans="1:12" x14ac:dyDescent="0.25">
      <c r="C30" s="11"/>
      <c r="D30" s="11" t="s">
        <v>1</v>
      </c>
      <c r="E30" s="11" t="s">
        <v>0</v>
      </c>
      <c r="F30" s="11"/>
      <c r="I30" s="10"/>
      <c r="J30" s="10"/>
      <c r="K30" s="10"/>
      <c r="L30" s="10"/>
    </row>
    <row r="31" spans="1:12" x14ac:dyDescent="0.25">
      <c r="B31" s="23" t="s">
        <v>5</v>
      </c>
      <c r="C31" s="11" t="s">
        <v>1</v>
      </c>
      <c r="D31" s="11">
        <v>6</v>
      </c>
      <c r="E31" s="11">
        <v>4</v>
      </c>
      <c r="F31" s="11">
        <f>D31+E31</f>
        <v>10</v>
      </c>
      <c r="I31" s="10"/>
      <c r="J31" s="10"/>
      <c r="K31" s="10"/>
      <c r="L31" s="10"/>
    </row>
    <row r="32" spans="1:12" x14ac:dyDescent="0.25">
      <c r="B32" s="23"/>
      <c r="C32" s="11" t="s">
        <v>0</v>
      </c>
      <c r="D32" s="11">
        <v>4</v>
      </c>
      <c r="E32" s="11">
        <v>6</v>
      </c>
      <c r="F32" s="11">
        <f>D32+E32</f>
        <v>10</v>
      </c>
      <c r="I32" s="10"/>
      <c r="J32" s="10"/>
      <c r="K32" s="10"/>
      <c r="L32" s="10"/>
    </row>
    <row r="33" spans="2:12" x14ac:dyDescent="0.25">
      <c r="C33" s="4"/>
      <c r="D33" s="4"/>
      <c r="E33" s="4"/>
      <c r="F33" s="4"/>
      <c r="I33" s="19"/>
      <c r="J33" s="19"/>
      <c r="K33" s="19"/>
      <c r="L33" s="19"/>
    </row>
    <row r="34" spans="2:12" x14ac:dyDescent="0.25">
      <c r="C34" s="4"/>
      <c r="D34" s="4"/>
      <c r="E34" s="4"/>
      <c r="F34" s="4"/>
      <c r="I34" s="19"/>
      <c r="J34" s="19"/>
      <c r="K34" s="19"/>
      <c r="L34" s="19"/>
    </row>
    <row r="35" spans="2:12" x14ac:dyDescent="0.25">
      <c r="C35" s="4"/>
      <c r="D35" s="16" t="s">
        <v>19</v>
      </c>
      <c r="E35" s="16" t="s">
        <v>16</v>
      </c>
      <c r="F35" s="4"/>
      <c r="I35" s="19"/>
      <c r="J35" s="19"/>
      <c r="K35" s="19"/>
      <c r="L35" s="19"/>
    </row>
    <row r="36" spans="2:12" x14ac:dyDescent="0.25">
      <c r="C36" s="4"/>
      <c r="D36" s="16"/>
      <c r="E36" s="16"/>
      <c r="F36" s="4"/>
      <c r="I36" s="19"/>
      <c r="J36" s="19"/>
      <c r="K36" s="19"/>
      <c r="L36" s="19"/>
    </row>
    <row r="37" spans="2:12" x14ac:dyDescent="0.25">
      <c r="C37" s="4"/>
      <c r="D37" s="22" t="s">
        <v>21</v>
      </c>
      <c r="E37" s="22"/>
      <c r="F37" s="4"/>
      <c r="I37" s="19"/>
      <c r="J37" s="19"/>
      <c r="K37" s="19"/>
      <c r="L37" s="19"/>
    </row>
    <row r="38" spans="2:12" x14ac:dyDescent="0.25">
      <c r="C38" s="11"/>
      <c r="D38" s="11" t="s">
        <v>1</v>
      </c>
      <c r="E38" s="11" t="s">
        <v>0</v>
      </c>
      <c r="F38" s="11"/>
      <c r="I38" s="10"/>
      <c r="J38" s="10"/>
      <c r="K38" s="10"/>
      <c r="L38" s="10"/>
    </row>
    <row r="39" spans="2:12" x14ac:dyDescent="0.25">
      <c r="B39" s="23" t="s">
        <v>5</v>
      </c>
      <c r="C39" s="11" t="s">
        <v>1</v>
      </c>
      <c r="D39" s="11">
        <v>0.6</v>
      </c>
      <c r="E39" s="14">
        <v>0.4</v>
      </c>
      <c r="F39" s="11">
        <f>D39+E39</f>
        <v>1</v>
      </c>
      <c r="I39" s="10"/>
      <c r="J39" s="10"/>
      <c r="K39" s="10"/>
      <c r="L39" s="10"/>
    </row>
    <row r="40" spans="2:12" x14ac:dyDescent="0.25">
      <c r="B40" s="23"/>
      <c r="C40" s="11" t="s">
        <v>0</v>
      </c>
      <c r="D40" s="11">
        <v>0.4</v>
      </c>
      <c r="E40" s="13">
        <v>0.6</v>
      </c>
      <c r="F40" s="11">
        <f>D40+E40</f>
        <v>1</v>
      </c>
      <c r="I40" s="10"/>
      <c r="J40" s="10"/>
      <c r="K40" s="10"/>
      <c r="L40" s="10"/>
    </row>
    <row r="41" spans="2:12" x14ac:dyDescent="0.25">
      <c r="C41" s="4"/>
      <c r="D41" s="4"/>
      <c r="E41" s="4"/>
      <c r="F41" s="4"/>
      <c r="I41" s="19"/>
      <c r="J41" s="19"/>
      <c r="K41" s="19"/>
      <c r="L41" s="19"/>
    </row>
    <row r="42" spans="2:12" x14ac:dyDescent="0.25">
      <c r="C42" s="4"/>
      <c r="D42" s="15" t="s">
        <v>10</v>
      </c>
      <c r="E42" s="15" t="s">
        <v>4</v>
      </c>
      <c r="F42" s="4"/>
      <c r="I42" s="19"/>
      <c r="J42" s="19"/>
      <c r="K42" s="19"/>
      <c r="L42" s="19"/>
    </row>
    <row r="43" spans="2:12" x14ac:dyDescent="0.25">
      <c r="C43" s="4"/>
      <c r="D43" s="4"/>
      <c r="E43" s="4"/>
      <c r="F43" s="4"/>
      <c r="I43" s="19"/>
      <c r="J43" s="19"/>
      <c r="K43" s="19"/>
      <c r="L43" s="19"/>
    </row>
    <row r="44" spans="2:12" x14ac:dyDescent="0.25">
      <c r="C44" s="4"/>
      <c r="D44" s="17" t="s">
        <v>12</v>
      </c>
      <c r="E44" s="18">
        <f>(D31+E32)/(F31+F32)</f>
        <v>0.6</v>
      </c>
      <c r="F44" s="4"/>
      <c r="I44" s="19"/>
      <c r="J44" s="19"/>
      <c r="K44" s="19"/>
      <c r="L44" s="19"/>
    </row>
  </sheetData>
  <mergeCells count="4">
    <mergeCell ref="D29:E29"/>
    <mergeCell ref="B31:B32"/>
    <mergeCell ref="D37:E37"/>
    <mergeCell ref="B39:B4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Curva ROC (0.54) </vt:lpstr>
      <vt:lpstr>Curva ROC (0.40) </vt:lpstr>
      <vt:lpstr>Curva ROC (0.50)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Grigorev</dc:creator>
  <cp:lastModifiedBy>Luis</cp:lastModifiedBy>
  <dcterms:created xsi:type="dcterms:W3CDTF">2014-05-28T18:31:20Z</dcterms:created>
  <dcterms:modified xsi:type="dcterms:W3CDTF">2021-04-24T14:14:08Z</dcterms:modified>
</cp:coreProperties>
</file>