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cnicas Multivariadas I\Clases\8. AD\"/>
    </mc:Choice>
  </mc:AlternateContent>
  <bookViews>
    <workbookView xWindow="0" yWindow="0" windowWidth="20490" windowHeight="7155"/>
  </bookViews>
  <sheets>
    <sheet name="Ejemplo suscripcion-discriminan" sheetId="1" r:id="rId1"/>
  </sheets>
  <calcPr calcId="152511"/>
</workbook>
</file>

<file path=xl/calcChain.xml><?xml version="1.0" encoding="utf-8"?>
<calcChain xmlns="http://schemas.openxmlformats.org/spreadsheetml/2006/main">
  <c r="O9" i="1" l="1"/>
  <c r="O8" i="1"/>
  <c r="L11" i="1" l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H348" i="1" s="1"/>
  <c r="I348" i="1" s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H332" i="1" s="1"/>
  <c r="I332" i="1" s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H300" i="1" s="1"/>
  <c r="I300" i="1" s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H284" i="1" s="1"/>
  <c r="I284" i="1" s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H268" i="1" s="1"/>
  <c r="I268" i="1" s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H236" i="1" s="1"/>
  <c r="I236" i="1" s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H220" i="1" s="1"/>
  <c r="I220" i="1" s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H204" i="1" s="1"/>
  <c r="I204" i="1" s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H188" i="1" s="1"/>
  <c r="I188" i="1" s="1"/>
  <c r="G187" i="1"/>
  <c r="G186" i="1"/>
  <c r="G185" i="1"/>
  <c r="H185" i="1" s="1"/>
  <c r="I185" i="1" s="1"/>
  <c r="G184" i="1"/>
  <c r="G183" i="1"/>
  <c r="G182" i="1"/>
  <c r="G181" i="1"/>
  <c r="H181" i="1" s="1"/>
  <c r="I181" i="1" s="1"/>
  <c r="G180" i="1"/>
  <c r="G179" i="1"/>
  <c r="G178" i="1"/>
  <c r="G177" i="1"/>
  <c r="H177" i="1" s="1"/>
  <c r="I177" i="1" s="1"/>
  <c r="G176" i="1"/>
  <c r="G175" i="1"/>
  <c r="G174" i="1"/>
  <c r="G173" i="1"/>
  <c r="H173" i="1" s="1"/>
  <c r="I173" i="1" s="1"/>
  <c r="G172" i="1"/>
  <c r="H172" i="1" s="1"/>
  <c r="I172" i="1" s="1"/>
  <c r="G171" i="1"/>
  <c r="G170" i="1"/>
  <c r="G169" i="1"/>
  <c r="H169" i="1" s="1"/>
  <c r="I169" i="1" s="1"/>
  <c r="G168" i="1"/>
  <c r="G167" i="1"/>
  <c r="G166" i="1"/>
  <c r="G165" i="1"/>
  <c r="H165" i="1" s="1"/>
  <c r="I165" i="1" s="1"/>
  <c r="G164" i="1"/>
  <c r="G163" i="1"/>
  <c r="G162" i="1"/>
  <c r="G161" i="1"/>
  <c r="H161" i="1" s="1"/>
  <c r="I161" i="1" s="1"/>
  <c r="G160" i="1"/>
  <c r="G159" i="1"/>
  <c r="G158" i="1"/>
  <c r="G157" i="1"/>
  <c r="H157" i="1" s="1"/>
  <c r="I157" i="1" s="1"/>
  <c r="G156" i="1"/>
  <c r="H156" i="1" s="1"/>
  <c r="I156" i="1" s="1"/>
  <c r="G155" i="1"/>
  <c r="G154" i="1"/>
  <c r="G153" i="1"/>
  <c r="H153" i="1" s="1"/>
  <c r="I153" i="1" s="1"/>
  <c r="G152" i="1"/>
  <c r="G151" i="1"/>
  <c r="G150" i="1"/>
  <c r="G149" i="1"/>
  <c r="H149" i="1" s="1"/>
  <c r="I149" i="1" s="1"/>
  <c r="G148" i="1"/>
  <c r="G147" i="1"/>
  <c r="G146" i="1"/>
  <c r="G145" i="1"/>
  <c r="H145" i="1" s="1"/>
  <c r="I145" i="1" s="1"/>
  <c r="G144" i="1"/>
  <c r="G143" i="1"/>
  <c r="G142" i="1"/>
  <c r="G141" i="1"/>
  <c r="H141" i="1" s="1"/>
  <c r="I141" i="1" s="1"/>
  <c r="G140" i="1"/>
  <c r="H140" i="1" s="1"/>
  <c r="I140" i="1" s="1"/>
  <c r="G139" i="1"/>
  <c r="G138" i="1"/>
  <c r="G137" i="1"/>
  <c r="H137" i="1" s="1"/>
  <c r="I137" i="1" s="1"/>
  <c r="G136" i="1"/>
  <c r="G135" i="1"/>
  <c r="G134" i="1"/>
  <c r="G133" i="1"/>
  <c r="H133" i="1" s="1"/>
  <c r="I133" i="1" s="1"/>
  <c r="G132" i="1"/>
  <c r="G131" i="1"/>
  <c r="G130" i="1"/>
  <c r="G129" i="1"/>
  <c r="H129" i="1" s="1"/>
  <c r="I129" i="1" s="1"/>
  <c r="G128" i="1"/>
  <c r="G127" i="1"/>
  <c r="G126" i="1"/>
  <c r="G125" i="1"/>
  <c r="H125" i="1" s="1"/>
  <c r="I125" i="1" s="1"/>
  <c r="G124" i="1"/>
  <c r="G123" i="1"/>
  <c r="G122" i="1"/>
  <c r="G121" i="1"/>
  <c r="H121" i="1" s="1"/>
  <c r="I121" i="1" s="1"/>
  <c r="G120" i="1"/>
  <c r="G119" i="1"/>
  <c r="G118" i="1"/>
  <c r="G117" i="1"/>
  <c r="H117" i="1" s="1"/>
  <c r="I117" i="1" s="1"/>
  <c r="G116" i="1"/>
  <c r="G115" i="1"/>
  <c r="G114" i="1"/>
  <c r="G113" i="1"/>
  <c r="H113" i="1" s="1"/>
  <c r="I113" i="1" s="1"/>
  <c r="G112" i="1"/>
  <c r="G111" i="1"/>
  <c r="G110" i="1"/>
  <c r="G109" i="1"/>
  <c r="H109" i="1" s="1"/>
  <c r="I109" i="1" s="1"/>
  <c r="G108" i="1"/>
  <c r="H108" i="1" s="1"/>
  <c r="I108" i="1" s="1"/>
  <c r="G107" i="1"/>
  <c r="G106" i="1"/>
  <c r="G105" i="1"/>
  <c r="H105" i="1" s="1"/>
  <c r="I105" i="1" s="1"/>
  <c r="G104" i="1"/>
  <c r="G103" i="1"/>
  <c r="G102" i="1"/>
  <c r="G101" i="1"/>
  <c r="H101" i="1" s="1"/>
  <c r="I101" i="1" s="1"/>
  <c r="G100" i="1"/>
  <c r="G99" i="1"/>
  <c r="G98" i="1"/>
  <c r="G97" i="1"/>
  <c r="H97" i="1" s="1"/>
  <c r="I97" i="1" s="1"/>
  <c r="G96" i="1"/>
  <c r="G95" i="1"/>
  <c r="G94" i="1"/>
  <c r="G93" i="1"/>
  <c r="H93" i="1" s="1"/>
  <c r="I93" i="1" s="1"/>
  <c r="G92" i="1"/>
  <c r="G91" i="1"/>
  <c r="G90" i="1"/>
  <c r="G89" i="1"/>
  <c r="H89" i="1" s="1"/>
  <c r="I89" i="1" s="1"/>
  <c r="G88" i="1"/>
  <c r="G87" i="1"/>
  <c r="G86" i="1"/>
  <c r="G85" i="1"/>
  <c r="H85" i="1" s="1"/>
  <c r="I85" i="1" s="1"/>
  <c r="G84" i="1"/>
  <c r="G83" i="1"/>
  <c r="G82" i="1"/>
  <c r="G81" i="1"/>
  <c r="H81" i="1" s="1"/>
  <c r="I81" i="1" s="1"/>
  <c r="G80" i="1"/>
  <c r="G79" i="1"/>
  <c r="G78" i="1"/>
  <c r="G77" i="1"/>
  <c r="H77" i="1" s="1"/>
  <c r="I77" i="1" s="1"/>
  <c r="G76" i="1"/>
  <c r="G75" i="1"/>
  <c r="G74" i="1"/>
  <c r="G73" i="1"/>
  <c r="H73" i="1" s="1"/>
  <c r="I73" i="1" s="1"/>
  <c r="G72" i="1"/>
  <c r="G71" i="1"/>
  <c r="G70" i="1"/>
  <c r="G69" i="1"/>
  <c r="H69" i="1" s="1"/>
  <c r="I69" i="1" s="1"/>
  <c r="G68" i="1"/>
  <c r="G67" i="1"/>
  <c r="G66" i="1"/>
  <c r="G65" i="1"/>
  <c r="H65" i="1" s="1"/>
  <c r="I65" i="1" s="1"/>
  <c r="G64" i="1"/>
  <c r="G63" i="1"/>
  <c r="G62" i="1"/>
  <c r="G61" i="1"/>
  <c r="H61" i="1" s="1"/>
  <c r="I61" i="1" s="1"/>
  <c r="G60" i="1"/>
  <c r="G59" i="1"/>
  <c r="G58" i="1"/>
  <c r="G57" i="1"/>
  <c r="H57" i="1" s="1"/>
  <c r="I57" i="1" s="1"/>
  <c r="G56" i="1"/>
  <c r="G55" i="1"/>
  <c r="G54" i="1"/>
  <c r="G53" i="1"/>
  <c r="H53" i="1" s="1"/>
  <c r="I53" i="1" s="1"/>
  <c r="G52" i="1"/>
  <c r="G51" i="1"/>
  <c r="G50" i="1"/>
  <c r="G49" i="1"/>
  <c r="H49" i="1" s="1"/>
  <c r="I49" i="1" s="1"/>
  <c r="G48" i="1"/>
  <c r="G47" i="1"/>
  <c r="G46" i="1"/>
  <c r="G45" i="1"/>
  <c r="H45" i="1" s="1"/>
  <c r="I45" i="1" s="1"/>
  <c r="G44" i="1"/>
  <c r="G43" i="1"/>
  <c r="G42" i="1"/>
  <c r="G41" i="1"/>
  <c r="H41" i="1" s="1"/>
  <c r="I41" i="1" s="1"/>
  <c r="G40" i="1"/>
  <c r="G39" i="1"/>
  <c r="G38" i="1"/>
  <c r="G37" i="1"/>
  <c r="H37" i="1" s="1"/>
  <c r="I37" i="1" s="1"/>
  <c r="G36" i="1"/>
  <c r="G35" i="1"/>
  <c r="G34" i="1"/>
  <c r="G33" i="1"/>
  <c r="H33" i="1" s="1"/>
  <c r="I33" i="1" s="1"/>
  <c r="G32" i="1"/>
  <c r="G31" i="1"/>
  <c r="G30" i="1"/>
  <c r="G29" i="1"/>
  <c r="H29" i="1" s="1"/>
  <c r="I29" i="1" s="1"/>
  <c r="G28" i="1"/>
  <c r="G27" i="1"/>
  <c r="G26" i="1"/>
  <c r="G25" i="1"/>
  <c r="H25" i="1" s="1"/>
  <c r="I25" i="1" s="1"/>
  <c r="G24" i="1"/>
  <c r="G23" i="1"/>
  <c r="H23" i="1" s="1"/>
  <c r="I23" i="1" s="1"/>
  <c r="G22" i="1"/>
  <c r="G21" i="1"/>
  <c r="H21" i="1" s="1"/>
  <c r="I21" i="1" s="1"/>
  <c r="G20" i="1"/>
  <c r="H20" i="1" s="1"/>
  <c r="I20" i="1" s="1"/>
  <c r="G19" i="1"/>
  <c r="H19" i="1" s="1"/>
  <c r="I19" i="1" s="1"/>
  <c r="G18" i="1"/>
  <c r="G17" i="1"/>
  <c r="H17" i="1" s="1"/>
  <c r="I17" i="1" s="1"/>
  <c r="G16" i="1"/>
  <c r="H16" i="1" s="1"/>
  <c r="I16" i="1" s="1"/>
  <c r="G15" i="1"/>
  <c r="H15" i="1" s="1"/>
  <c r="I15" i="1" s="1"/>
  <c r="G14" i="1"/>
  <c r="G13" i="1"/>
  <c r="H13" i="1" s="1"/>
  <c r="I13" i="1" s="1"/>
  <c r="G12" i="1"/>
  <c r="H12" i="1" s="1"/>
  <c r="I12" i="1" s="1"/>
  <c r="G11" i="1"/>
  <c r="H11" i="1" s="1"/>
  <c r="I11" i="1" s="1"/>
  <c r="G10" i="1"/>
  <c r="G9" i="1"/>
  <c r="H9" i="1" s="1"/>
  <c r="I9" i="1" s="1"/>
  <c r="G8" i="1"/>
  <c r="H8" i="1" s="1"/>
  <c r="I8" i="1" s="1"/>
  <c r="G7" i="1"/>
  <c r="H7" i="1" s="1"/>
  <c r="I7" i="1" s="1"/>
  <c r="G6" i="1"/>
  <c r="G5" i="1"/>
  <c r="H5" i="1" s="1"/>
  <c r="I5" i="1" s="1"/>
  <c r="G4" i="1"/>
  <c r="H4" i="1" s="1"/>
  <c r="I4" i="1" s="1"/>
  <c r="G3" i="1"/>
  <c r="H3" i="1" s="1"/>
  <c r="I3" i="1" s="1"/>
  <c r="G2" i="1"/>
  <c r="H189" i="1" l="1"/>
  <c r="I189" i="1" s="1"/>
  <c r="H193" i="1"/>
  <c r="I193" i="1" s="1"/>
  <c r="H197" i="1"/>
  <c r="I197" i="1" s="1"/>
  <c r="H201" i="1"/>
  <c r="I201" i="1" s="1"/>
  <c r="H205" i="1"/>
  <c r="I205" i="1" s="1"/>
  <c r="H209" i="1"/>
  <c r="I209" i="1" s="1"/>
  <c r="H213" i="1"/>
  <c r="I213" i="1" s="1"/>
  <c r="H217" i="1"/>
  <c r="I217" i="1" s="1"/>
  <c r="H221" i="1"/>
  <c r="I221" i="1" s="1"/>
  <c r="H225" i="1"/>
  <c r="I225" i="1" s="1"/>
  <c r="H229" i="1"/>
  <c r="I229" i="1" s="1"/>
  <c r="H233" i="1"/>
  <c r="I233" i="1" s="1"/>
  <c r="H237" i="1"/>
  <c r="I237" i="1" s="1"/>
  <c r="H241" i="1"/>
  <c r="I241" i="1" s="1"/>
  <c r="H245" i="1"/>
  <c r="I245" i="1" s="1"/>
  <c r="H249" i="1"/>
  <c r="I249" i="1" s="1"/>
  <c r="H253" i="1"/>
  <c r="I253" i="1" s="1"/>
  <c r="H257" i="1"/>
  <c r="I257" i="1" s="1"/>
  <c r="H261" i="1"/>
  <c r="I261" i="1" s="1"/>
  <c r="H265" i="1"/>
  <c r="I265" i="1" s="1"/>
  <c r="H269" i="1"/>
  <c r="I269" i="1" s="1"/>
  <c r="H273" i="1"/>
  <c r="I273" i="1" s="1"/>
  <c r="H277" i="1"/>
  <c r="I277" i="1" s="1"/>
  <c r="H281" i="1"/>
  <c r="I281" i="1" s="1"/>
  <c r="H285" i="1"/>
  <c r="I285" i="1" s="1"/>
  <c r="H289" i="1"/>
  <c r="I289" i="1" s="1"/>
  <c r="H293" i="1"/>
  <c r="I293" i="1" s="1"/>
  <c r="H297" i="1"/>
  <c r="I297" i="1" s="1"/>
  <c r="H301" i="1"/>
  <c r="I301" i="1" s="1"/>
  <c r="H305" i="1"/>
  <c r="I305" i="1" s="1"/>
  <c r="H309" i="1"/>
  <c r="I309" i="1" s="1"/>
  <c r="H313" i="1"/>
  <c r="I313" i="1" s="1"/>
  <c r="H317" i="1"/>
  <c r="I317" i="1" s="1"/>
  <c r="H321" i="1"/>
  <c r="I321" i="1" s="1"/>
  <c r="H325" i="1"/>
  <c r="I325" i="1" s="1"/>
  <c r="H329" i="1"/>
  <c r="I329" i="1" s="1"/>
  <c r="H333" i="1"/>
  <c r="I333" i="1" s="1"/>
  <c r="H337" i="1"/>
  <c r="I337" i="1" s="1"/>
  <c r="H341" i="1"/>
  <c r="I341" i="1" s="1"/>
  <c r="H345" i="1"/>
  <c r="I345" i="1" s="1"/>
  <c r="H349" i="1"/>
  <c r="I349" i="1" s="1"/>
  <c r="H353" i="1"/>
  <c r="I353" i="1" s="1"/>
  <c r="H357" i="1"/>
  <c r="I357" i="1" s="1"/>
  <c r="H361" i="1"/>
  <c r="I361" i="1" s="1"/>
  <c r="H365" i="1"/>
  <c r="I365" i="1" s="1"/>
  <c r="H369" i="1"/>
  <c r="I369" i="1" s="1"/>
  <c r="H373" i="1"/>
  <c r="I373" i="1" s="1"/>
  <c r="H377" i="1"/>
  <c r="I377" i="1" s="1"/>
  <c r="H381" i="1"/>
  <c r="I381" i="1" s="1"/>
  <c r="H385" i="1"/>
  <c r="I385" i="1" s="1"/>
  <c r="H389" i="1"/>
  <c r="I389" i="1" s="1"/>
  <c r="H393" i="1"/>
  <c r="I393" i="1" s="1"/>
  <c r="H397" i="1"/>
  <c r="I397" i="1" s="1"/>
  <c r="H401" i="1"/>
  <c r="I401" i="1" s="1"/>
  <c r="H405" i="1"/>
  <c r="I405" i="1" s="1"/>
  <c r="H409" i="1"/>
  <c r="I409" i="1" s="1"/>
  <c r="H413" i="1"/>
  <c r="I413" i="1" s="1"/>
  <c r="H417" i="1"/>
  <c r="I417" i="1" s="1"/>
  <c r="H421" i="1"/>
  <c r="I421" i="1" s="1"/>
  <c r="H425" i="1"/>
  <c r="I425" i="1" s="1"/>
  <c r="H429" i="1"/>
  <c r="I429" i="1" s="1"/>
  <c r="H433" i="1"/>
  <c r="I433" i="1" s="1"/>
  <c r="H437" i="1"/>
  <c r="I437" i="1" s="1"/>
  <c r="H441" i="1"/>
  <c r="I441" i="1" s="1"/>
  <c r="H2" i="1"/>
  <c r="I2" i="1" s="1"/>
  <c r="H6" i="1"/>
  <c r="I6" i="1" s="1"/>
  <c r="H10" i="1"/>
  <c r="I10" i="1" s="1"/>
  <c r="H14" i="1"/>
  <c r="I14" i="1" s="1"/>
  <c r="H18" i="1"/>
  <c r="I18" i="1" s="1"/>
  <c r="H22" i="1"/>
  <c r="I22" i="1" s="1"/>
  <c r="H26" i="1"/>
  <c r="I26" i="1" s="1"/>
  <c r="H30" i="1"/>
  <c r="I30" i="1" s="1"/>
  <c r="H34" i="1"/>
  <c r="I34" i="1" s="1"/>
  <c r="H38" i="1"/>
  <c r="I38" i="1" s="1"/>
  <c r="H42" i="1"/>
  <c r="I42" i="1" s="1"/>
  <c r="H46" i="1"/>
  <c r="I46" i="1" s="1"/>
  <c r="H50" i="1"/>
  <c r="I50" i="1" s="1"/>
  <c r="H54" i="1"/>
  <c r="I54" i="1" s="1"/>
  <c r="H58" i="1"/>
  <c r="I58" i="1" s="1"/>
  <c r="H62" i="1"/>
  <c r="I62" i="1" s="1"/>
  <c r="H66" i="1"/>
  <c r="I66" i="1" s="1"/>
  <c r="H70" i="1"/>
  <c r="I70" i="1" s="1"/>
  <c r="H74" i="1"/>
  <c r="I74" i="1" s="1"/>
  <c r="H78" i="1"/>
  <c r="I78" i="1" s="1"/>
  <c r="H82" i="1"/>
  <c r="I82" i="1" s="1"/>
  <c r="H380" i="1"/>
  <c r="I380" i="1" s="1"/>
  <c r="H252" i="1"/>
  <c r="I252" i="1" s="1"/>
  <c r="H364" i="1"/>
  <c r="I364" i="1" s="1"/>
  <c r="H396" i="1"/>
  <c r="I396" i="1" s="1"/>
  <c r="H412" i="1"/>
  <c r="I412" i="1" s="1"/>
  <c r="H428" i="1"/>
  <c r="I428" i="1" s="1"/>
  <c r="H316" i="1"/>
  <c r="I316" i="1" s="1"/>
  <c r="H124" i="1"/>
  <c r="I124" i="1" s="1"/>
  <c r="H86" i="1"/>
  <c r="I86" i="1" s="1"/>
  <c r="H90" i="1"/>
  <c r="I90" i="1" s="1"/>
  <c r="H94" i="1"/>
  <c r="I94" i="1" s="1"/>
  <c r="H98" i="1"/>
  <c r="I98" i="1" s="1"/>
  <c r="H102" i="1"/>
  <c r="I102" i="1" s="1"/>
  <c r="H106" i="1"/>
  <c r="I106" i="1" s="1"/>
  <c r="H110" i="1"/>
  <c r="I110" i="1" s="1"/>
  <c r="H114" i="1"/>
  <c r="I114" i="1" s="1"/>
  <c r="H118" i="1"/>
  <c r="I118" i="1" s="1"/>
  <c r="H122" i="1"/>
  <c r="I122" i="1" s="1"/>
  <c r="H126" i="1"/>
  <c r="I126" i="1" s="1"/>
  <c r="H130" i="1"/>
  <c r="I130" i="1" s="1"/>
  <c r="H134" i="1"/>
  <c r="I134" i="1" s="1"/>
  <c r="H138" i="1"/>
  <c r="I138" i="1" s="1"/>
  <c r="H142" i="1"/>
  <c r="I142" i="1" s="1"/>
  <c r="H146" i="1"/>
  <c r="I146" i="1" s="1"/>
  <c r="H150" i="1"/>
  <c r="I150" i="1" s="1"/>
  <c r="H154" i="1"/>
  <c r="I154" i="1" s="1"/>
  <c r="H158" i="1"/>
  <c r="I158" i="1" s="1"/>
  <c r="H162" i="1"/>
  <c r="I162" i="1" s="1"/>
  <c r="H166" i="1"/>
  <c r="I166" i="1" s="1"/>
  <c r="H170" i="1"/>
  <c r="I170" i="1" s="1"/>
  <c r="H174" i="1"/>
  <c r="I174" i="1" s="1"/>
  <c r="H178" i="1"/>
  <c r="I178" i="1" s="1"/>
  <c r="H182" i="1"/>
  <c r="I182" i="1" s="1"/>
  <c r="H186" i="1"/>
  <c r="I186" i="1" s="1"/>
  <c r="H190" i="1"/>
  <c r="I190" i="1" s="1"/>
  <c r="H194" i="1"/>
  <c r="I194" i="1" s="1"/>
  <c r="H198" i="1"/>
  <c r="I198" i="1" s="1"/>
  <c r="H202" i="1"/>
  <c r="I202" i="1" s="1"/>
  <c r="H206" i="1"/>
  <c r="I206" i="1" s="1"/>
  <c r="H210" i="1"/>
  <c r="I210" i="1" s="1"/>
  <c r="H214" i="1"/>
  <c r="I214" i="1" s="1"/>
  <c r="H218" i="1"/>
  <c r="I218" i="1" s="1"/>
  <c r="H222" i="1"/>
  <c r="I222" i="1" s="1"/>
  <c r="H226" i="1"/>
  <c r="I226" i="1" s="1"/>
  <c r="H230" i="1"/>
  <c r="I230" i="1" s="1"/>
  <c r="H234" i="1"/>
  <c r="I234" i="1" s="1"/>
  <c r="H238" i="1"/>
  <c r="I238" i="1" s="1"/>
  <c r="H242" i="1"/>
  <c r="I242" i="1" s="1"/>
  <c r="H246" i="1"/>
  <c r="I246" i="1" s="1"/>
  <c r="H250" i="1"/>
  <c r="I250" i="1" s="1"/>
  <c r="H254" i="1"/>
  <c r="I254" i="1" s="1"/>
  <c r="H258" i="1"/>
  <c r="I258" i="1" s="1"/>
  <c r="H262" i="1"/>
  <c r="I262" i="1" s="1"/>
  <c r="H266" i="1"/>
  <c r="I266" i="1" s="1"/>
  <c r="H270" i="1"/>
  <c r="I270" i="1" s="1"/>
  <c r="H274" i="1"/>
  <c r="I274" i="1" s="1"/>
  <c r="H278" i="1"/>
  <c r="I278" i="1" s="1"/>
  <c r="H282" i="1"/>
  <c r="I282" i="1" s="1"/>
  <c r="H286" i="1"/>
  <c r="I286" i="1" s="1"/>
  <c r="H290" i="1"/>
  <c r="I290" i="1" s="1"/>
  <c r="H294" i="1"/>
  <c r="I294" i="1" s="1"/>
  <c r="H298" i="1"/>
  <c r="I298" i="1" s="1"/>
  <c r="H302" i="1"/>
  <c r="I302" i="1" s="1"/>
  <c r="H306" i="1"/>
  <c r="I306" i="1" s="1"/>
  <c r="H310" i="1"/>
  <c r="I310" i="1" s="1"/>
  <c r="H314" i="1"/>
  <c r="I314" i="1" s="1"/>
  <c r="H318" i="1"/>
  <c r="I318" i="1" s="1"/>
  <c r="H322" i="1"/>
  <c r="I322" i="1" s="1"/>
  <c r="H326" i="1"/>
  <c r="I326" i="1" s="1"/>
  <c r="H330" i="1"/>
  <c r="I330" i="1" s="1"/>
  <c r="H334" i="1"/>
  <c r="I334" i="1" s="1"/>
  <c r="H338" i="1"/>
  <c r="I338" i="1" s="1"/>
  <c r="H342" i="1"/>
  <c r="I342" i="1" s="1"/>
  <c r="H346" i="1"/>
  <c r="I346" i="1" s="1"/>
  <c r="H350" i="1"/>
  <c r="I350" i="1" s="1"/>
  <c r="H354" i="1"/>
  <c r="I354" i="1" s="1"/>
  <c r="H358" i="1"/>
  <c r="I358" i="1" s="1"/>
  <c r="H362" i="1"/>
  <c r="I362" i="1" s="1"/>
  <c r="H366" i="1"/>
  <c r="I366" i="1" s="1"/>
  <c r="H370" i="1"/>
  <c r="I370" i="1" s="1"/>
  <c r="H374" i="1"/>
  <c r="I374" i="1" s="1"/>
  <c r="H378" i="1"/>
  <c r="I378" i="1" s="1"/>
  <c r="H382" i="1"/>
  <c r="I382" i="1" s="1"/>
  <c r="H386" i="1"/>
  <c r="I386" i="1" s="1"/>
  <c r="H390" i="1"/>
  <c r="I390" i="1" s="1"/>
  <c r="H394" i="1"/>
  <c r="I394" i="1" s="1"/>
  <c r="H398" i="1"/>
  <c r="I398" i="1" s="1"/>
  <c r="H402" i="1"/>
  <c r="I402" i="1" s="1"/>
  <c r="H406" i="1"/>
  <c r="I406" i="1" s="1"/>
  <c r="H410" i="1"/>
  <c r="I410" i="1" s="1"/>
  <c r="H414" i="1"/>
  <c r="I414" i="1" s="1"/>
  <c r="H418" i="1"/>
  <c r="I418" i="1" s="1"/>
  <c r="H422" i="1"/>
  <c r="I422" i="1" s="1"/>
  <c r="H426" i="1"/>
  <c r="I426" i="1" s="1"/>
  <c r="H430" i="1"/>
  <c r="I430" i="1" s="1"/>
  <c r="H434" i="1"/>
  <c r="I434" i="1" s="1"/>
  <c r="H438" i="1"/>
  <c r="I438" i="1" s="1"/>
  <c r="H442" i="1"/>
  <c r="I442" i="1" s="1"/>
  <c r="H27" i="1"/>
  <c r="I27" i="1" s="1"/>
  <c r="H31" i="1"/>
  <c r="I31" i="1" s="1"/>
  <c r="H35" i="1"/>
  <c r="I35" i="1" s="1"/>
  <c r="H39" i="1"/>
  <c r="I39" i="1" s="1"/>
  <c r="H43" i="1"/>
  <c r="I43" i="1" s="1"/>
  <c r="H47" i="1"/>
  <c r="I47" i="1" s="1"/>
  <c r="H51" i="1"/>
  <c r="I51" i="1" s="1"/>
  <c r="H55" i="1"/>
  <c r="I55" i="1" s="1"/>
  <c r="H59" i="1"/>
  <c r="I59" i="1" s="1"/>
  <c r="H63" i="1"/>
  <c r="I63" i="1" s="1"/>
  <c r="H67" i="1"/>
  <c r="I67" i="1" s="1"/>
  <c r="H71" i="1"/>
  <c r="I71" i="1" s="1"/>
  <c r="H75" i="1"/>
  <c r="I75" i="1" s="1"/>
  <c r="H79" i="1"/>
  <c r="I79" i="1" s="1"/>
  <c r="H83" i="1"/>
  <c r="I83" i="1" s="1"/>
  <c r="H87" i="1"/>
  <c r="I87" i="1" s="1"/>
  <c r="H91" i="1"/>
  <c r="I91" i="1" s="1"/>
  <c r="H95" i="1"/>
  <c r="I95" i="1" s="1"/>
  <c r="H99" i="1"/>
  <c r="I99" i="1" s="1"/>
  <c r="H103" i="1"/>
  <c r="I103" i="1" s="1"/>
  <c r="H107" i="1"/>
  <c r="I107" i="1" s="1"/>
  <c r="H111" i="1"/>
  <c r="I111" i="1" s="1"/>
  <c r="H115" i="1"/>
  <c r="I115" i="1" s="1"/>
  <c r="H119" i="1"/>
  <c r="I119" i="1" s="1"/>
  <c r="H123" i="1"/>
  <c r="I123" i="1" s="1"/>
  <c r="H127" i="1"/>
  <c r="I127" i="1" s="1"/>
  <c r="H131" i="1"/>
  <c r="I131" i="1" s="1"/>
  <c r="H135" i="1"/>
  <c r="I135" i="1" s="1"/>
  <c r="H139" i="1"/>
  <c r="I139" i="1" s="1"/>
  <c r="H143" i="1"/>
  <c r="I143" i="1" s="1"/>
  <c r="H147" i="1"/>
  <c r="I147" i="1" s="1"/>
  <c r="H151" i="1"/>
  <c r="I151" i="1" s="1"/>
  <c r="H155" i="1"/>
  <c r="I155" i="1" s="1"/>
  <c r="H159" i="1"/>
  <c r="I159" i="1" s="1"/>
  <c r="H163" i="1"/>
  <c r="I163" i="1" s="1"/>
  <c r="H167" i="1"/>
  <c r="I167" i="1" s="1"/>
  <c r="H171" i="1"/>
  <c r="I171" i="1" s="1"/>
  <c r="H175" i="1"/>
  <c r="I175" i="1" s="1"/>
  <c r="H179" i="1"/>
  <c r="I179" i="1" s="1"/>
  <c r="H183" i="1"/>
  <c r="I183" i="1" s="1"/>
  <c r="H187" i="1"/>
  <c r="I187" i="1" s="1"/>
  <c r="H191" i="1"/>
  <c r="I191" i="1" s="1"/>
  <c r="H195" i="1"/>
  <c r="I195" i="1" s="1"/>
  <c r="H199" i="1"/>
  <c r="I199" i="1" s="1"/>
  <c r="H203" i="1"/>
  <c r="I203" i="1" s="1"/>
  <c r="H207" i="1"/>
  <c r="I207" i="1" s="1"/>
  <c r="H211" i="1"/>
  <c r="I211" i="1" s="1"/>
  <c r="H215" i="1"/>
  <c r="I215" i="1" s="1"/>
  <c r="H219" i="1"/>
  <c r="I219" i="1" s="1"/>
  <c r="H223" i="1"/>
  <c r="I223" i="1" s="1"/>
  <c r="H227" i="1"/>
  <c r="I227" i="1" s="1"/>
  <c r="H231" i="1"/>
  <c r="I231" i="1" s="1"/>
  <c r="H235" i="1"/>
  <c r="I235" i="1" s="1"/>
  <c r="H239" i="1"/>
  <c r="I239" i="1" s="1"/>
  <c r="H243" i="1"/>
  <c r="I243" i="1" s="1"/>
  <c r="H247" i="1"/>
  <c r="I247" i="1" s="1"/>
  <c r="H251" i="1"/>
  <c r="I251" i="1" s="1"/>
  <c r="H255" i="1"/>
  <c r="I255" i="1" s="1"/>
  <c r="H259" i="1"/>
  <c r="I259" i="1" s="1"/>
  <c r="H263" i="1"/>
  <c r="I263" i="1" s="1"/>
  <c r="H267" i="1"/>
  <c r="I267" i="1" s="1"/>
  <c r="H271" i="1"/>
  <c r="I271" i="1" s="1"/>
  <c r="H275" i="1"/>
  <c r="I275" i="1" s="1"/>
  <c r="H279" i="1"/>
  <c r="I279" i="1" s="1"/>
  <c r="H283" i="1"/>
  <c r="I283" i="1" s="1"/>
  <c r="H287" i="1"/>
  <c r="I287" i="1" s="1"/>
  <c r="H291" i="1"/>
  <c r="I291" i="1" s="1"/>
  <c r="H295" i="1"/>
  <c r="I295" i="1" s="1"/>
  <c r="H299" i="1"/>
  <c r="I299" i="1" s="1"/>
  <c r="H303" i="1"/>
  <c r="I303" i="1" s="1"/>
  <c r="H307" i="1"/>
  <c r="I307" i="1" s="1"/>
  <c r="H311" i="1"/>
  <c r="I311" i="1" s="1"/>
  <c r="H315" i="1"/>
  <c r="I315" i="1" s="1"/>
  <c r="H319" i="1"/>
  <c r="I319" i="1" s="1"/>
  <c r="H323" i="1"/>
  <c r="I323" i="1" s="1"/>
  <c r="H327" i="1"/>
  <c r="I327" i="1" s="1"/>
  <c r="H331" i="1"/>
  <c r="I331" i="1" s="1"/>
  <c r="H335" i="1"/>
  <c r="I335" i="1" s="1"/>
  <c r="H339" i="1"/>
  <c r="I339" i="1" s="1"/>
  <c r="H343" i="1"/>
  <c r="I343" i="1" s="1"/>
  <c r="H347" i="1"/>
  <c r="I347" i="1" s="1"/>
  <c r="H351" i="1"/>
  <c r="I351" i="1" s="1"/>
  <c r="H355" i="1"/>
  <c r="I355" i="1" s="1"/>
  <c r="H359" i="1"/>
  <c r="I359" i="1" s="1"/>
  <c r="H363" i="1"/>
  <c r="I363" i="1" s="1"/>
  <c r="H367" i="1"/>
  <c r="I367" i="1" s="1"/>
  <c r="H371" i="1"/>
  <c r="I371" i="1" s="1"/>
  <c r="H375" i="1"/>
  <c r="I375" i="1" s="1"/>
  <c r="H379" i="1"/>
  <c r="I379" i="1" s="1"/>
  <c r="H383" i="1"/>
  <c r="I383" i="1" s="1"/>
  <c r="H387" i="1"/>
  <c r="I387" i="1" s="1"/>
  <c r="H391" i="1"/>
  <c r="I391" i="1" s="1"/>
  <c r="H395" i="1"/>
  <c r="I395" i="1" s="1"/>
  <c r="H399" i="1"/>
  <c r="I399" i="1" s="1"/>
  <c r="H403" i="1"/>
  <c r="I403" i="1" s="1"/>
  <c r="H407" i="1"/>
  <c r="I407" i="1" s="1"/>
  <c r="H411" i="1"/>
  <c r="I411" i="1" s="1"/>
  <c r="H415" i="1"/>
  <c r="I415" i="1" s="1"/>
  <c r="H419" i="1"/>
  <c r="I419" i="1" s="1"/>
  <c r="H423" i="1"/>
  <c r="I423" i="1" s="1"/>
  <c r="H427" i="1"/>
  <c r="I427" i="1" s="1"/>
  <c r="H431" i="1"/>
  <c r="I431" i="1" s="1"/>
  <c r="H435" i="1"/>
  <c r="I435" i="1" s="1"/>
  <c r="H439" i="1"/>
  <c r="I439" i="1" s="1"/>
  <c r="H443" i="1"/>
  <c r="I443" i="1" s="1"/>
  <c r="H24" i="1"/>
  <c r="I24" i="1" s="1"/>
  <c r="H28" i="1"/>
  <c r="I28" i="1" s="1"/>
  <c r="H32" i="1"/>
  <c r="I32" i="1" s="1"/>
  <c r="H36" i="1"/>
  <c r="I36" i="1" s="1"/>
  <c r="H40" i="1"/>
  <c r="I40" i="1" s="1"/>
  <c r="H44" i="1"/>
  <c r="I44" i="1" s="1"/>
  <c r="H48" i="1"/>
  <c r="I48" i="1" s="1"/>
  <c r="H52" i="1"/>
  <c r="I52" i="1" s="1"/>
  <c r="H56" i="1"/>
  <c r="I56" i="1" s="1"/>
  <c r="H60" i="1"/>
  <c r="I60" i="1" s="1"/>
  <c r="H64" i="1"/>
  <c r="I64" i="1" s="1"/>
  <c r="H68" i="1"/>
  <c r="I68" i="1" s="1"/>
  <c r="H72" i="1"/>
  <c r="I72" i="1" s="1"/>
  <c r="H76" i="1"/>
  <c r="I76" i="1" s="1"/>
  <c r="H80" i="1"/>
  <c r="I80" i="1" s="1"/>
  <c r="H84" i="1"/>
  <c r="I84" i="1" s="1"/>
  <c r="H88" i="1"/>
  <c r="I88" i="1" s="1"/>
  <c r="H92" i="1"/>
  <c r="I92" i="1" s="1"/>
  <c r="H96" i="1"/>
  <c r="I96" i="1" s="1"/>
  <c r="H100" i="1"/>
  <c r="I100" i="1" s="1"/>
  <c r="H104" i="1"/>
  <c r="I104" i="1" s="1"/>
  <c r="H112" i="1"/>
  <c r="I112" i="1" s="1"/>
  <c r="H116" i="1"/>
  <c r="I116" i="1" s="1"/>
  <c r="H120" i="1"/>
  <c r="I120" i="1" s="1"/>
  <c r="H128" i="1"/>
  <c r="I128" i="1" s="1"/>
  <c r="H132" i="1"/>
  <c r="I132" i="1" s="1"/>
  <c r="H136" i="1"/>
  <c r="I136" i="1" s="1"/>
  <c r="H144" i="1"/>
  <c r="I144" i="1" s="1"/>
  <c r="H148" i="1"/>
  <c r="I148" i="1" s="1"/>
  <c r="H152" i="1"/>
  <c r="I152" i="1" s="1"/>
  <c r="H160" i="1"/>
  <c r="I160" i="1" s="1"/>
  <c r="H164" i="1"/>
  <c r="I164" i="1" s="1"/>
  <c r="H168" i="1"/>
  <c r="I168" i="1" s="1"/>
  <c r="H176" i="1"/>
  <c r="I176" i="1" s="1"/>
  <c r="H180" i="1"/>
  <c r="I180" i="1" s="1"/>
  <c r="H184" i="1"/>
  <c r="I184" i="1" s="1"/>
  <c r="H192" i="1"/>
  <c r="I192" i="1" s="1"/>
  <c r="H196" i="1"/>
  <c r="I196" i="1" s="1"/>
  <c r="H200" i="1"/>
  <c r="I200" i="1" s="1"/>
  <c r="H208" i="1"/>
  <c r="I208" i="1" s="1"/>
  <c r="H212" i="1"/>
  <c r="I212" i="1" s="1"/>
  <c r="H216" i="1"/>
  <c r="I216" i="1" s="1"/>
  <c r="H224" i="1"/>
  <c r="I224" i="1" s="1"/>
  <c r="H228" i="1"/>
  <c r="I228" i="1" s="1"/>
  <c r="H232" i="1"/>
  <c r="I232" i="1" s="1"/>
  <c r="H240" i="1"/>
  <c r="I240" i="1" s="1"/>
  <c r="H244" i="1"/>
  <c r="I244" i="1" s="1"/>
  <c r="H248" i="1"/>
  <c r="I248" i="1" s="1"/>
  <c r="H256" i="1"/>
  <c r="I256" i="1" s="1"/>
  <c r="H260" i="1"/>
  <c r="I260" i="1" s="1"/>
  <c r="H264" i="1"/>
  <c r="I264" i="1" s="1"/>
  <c r="H272" i="1"/>
  <c r="I272" i="1" s="1"/>
  <c r="H276" i="1"/>
  <c r="I276" i="1" s="1"/>
  <c r="H280" i="1"/>
  <c r="I280" i="1" s="1"/>
  <c r="H288" i="1"/>
  <c r="I288" i="1" s="1"/>
  <c r="H292" i="1"/>
  <c r="I292" i="1" s="1"/>
  <c r="H296" i="1"/>
  <c r="I296" i="1" s="1"/>
  <c r="H304" i="1"/>
  <c r="I304" i="1" s="1"/>
  <c r="H308" i="1"/>
  <c r="I308" i="1" s="1"/>
  <c r="H312" i="1"/>
  <c r="I312" i="1" s="1"/>
  <c r="H320" i="1"/>
  <c r="I320" i="1" s="1"/>
  <c r="H324" i="1"/>
  <c r="I324" i="1" s="1"/>
  <c r="H328" i="1"/>
  <c r="I328" i="1" s="1"/>
  <c r="H336" i="1"/>
  <c r="I336" i="1" s="1"/>
  <c r="H340" i="1"/>
  <c r="I340" i="1" s="1"/>
  <c r="H344" i="1"/>
  <c r="I344" i="1" s="1"/>
  <c r="H352" i="1"/>
  <c r="I352" i="1" s="1"/>
  <c r="H356" i="1"/>
  <c r="I356" i="1" s="1"/>
  <c r="H360" i="1"/>
  <c r="I360" i="1" s="1"/>
  <c r="H368" i="1"/>
  <c r="I368" i="1" s="1"/>
  <c r="H372" i="1"/>
  <c r="I372" i="1" s="1"/>
  <c r="H376" i="1"/>
  <c r="I376" i="1" s="1"/>
  <c r="H384" i="1"/>
  <c r="I384" i="1" s="1"/>
  <c r="H388" i="1"/>
  <c r="I388" i="1" s="1"/>
  <c r="H392" i="1"/>
  <c r="I392" i="1" s="1"/>
  <c r="H400" i="1"/>
  <c r="I400" i="1" s="1"/>
  <c r="H404" i="1"/>
  <c r="I404" i="1" s="1"/>
  <c r="H408" i="1"/>
  <c r="I408" i="1" s="1"/>
  <c r="H416" i="1"/>
  <c r="I416" i="1" s="1"/>
  <c r="H420" i="1"/>
  <c r="I420" i="1" s="1"/>
  <c r="H424" i="1"/>
  <c r="I424" i="1" s="1"/>
  <c r="H432" i="1"/>
  <c r="I432" i="1" s="1"/>
  <c r="H436" i="1"/>
  <c r="I436" i="1" s="1"/>
  <c r="H440" i="1"/>
  <c r="I440" i="1" s="1"/>
</calcChain>
</file>

<file path=xl/sharedStrings.xml><?xml version="1.0" encoding="utf-8"?>
<sst xmlns="http://schemas.openxmlformats.org/spreadsheetml/2006/main" count="22" uniqueCount="18">
  <si>
    <t>Educacion</t>
  </si>
  <si>
    <t>Edad</t>
  </si>
  <si>
    <t>Tvdiario</t>
  </si>
  <si>
    <t>Organizaciones</t>
  </si>
  <si>
    <t>Hijos</t>
  </si>
  <si>
    <t>Suscripcion</t>
  </si>
  <si>
    <t>Coefficients of linear discriminants:</t>
  </si>
  <si>
    <t xml:space="preserve">            LD1</t>
  </si>
  <si>
    <t xml:space="preserve">Educacion </t>
  </si>
  <si>
    <t xml:space="preserve">Edad      </t>
  </si>
  <si>
    <t xml:space="preserve">Tvdiario  </t>
  </si>
  <si>
    <t xml:space="preserve">No      </t>
  </si>
  <si>
    <t xml:space="preserve">Si   </t>
  </si>
  <si>
    <t>D</t>
  </si>
  <si>
    <t>C</t>
  </si>
  <si>
    <t>n</t>
  </si>
  <si>
    <t>D-C</t>
  </si>
  <si>
    <t>Clase Predicha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</si>
</sst>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Lucida Console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 applyAlignment="1">
      <alignment vertic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18" fillId="0" borderId="21" xfId="0" applyFont="1" applyBorder="1" applyAlignment="1">
      <alignment vertical="center"/>
    </xf>
    <xf numFmtId="0" fontId="18" fillId="0" borderId="21" xfId="0" applyFont="1" applyBorder="1" applyAlignment="1">
      <alignment horizontal="right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3"/>
  <sheetViews>
    <sheetView tabSelected="1" workbookViewId="0">
      <selection activeCell="H2" sqref="H2"/>
    </sheetView>
  </sheetViews>
  <sheetFormatPr baseColWidth="10" defaultRowHeight="15" x14ac:dyDescent="0.25"/>
  <cols>
    <col min="1" max="1" width="11.42578125" style="14"/>
    <col min="2" max="2" width="9.42578125" style="14" customWidth="1"/>
    <col min="3" max="3" width="11.42578125" style="14"/>
    <col min="4" max="4" width="14.42578125" style="14" bestFit="1" customWidth="1"/>
    <col min="5" max="5" width="9.28515625" style="14" customWidth="1"/>
    <col min="6" max="8" width="11.42578125" style="14"/>
    <col min="9" max="9" width="13.85546875" style="14" bestFit="1" customWidth="1"/>
    <col min="11" max="11" width="15.28515625" customWidth="1"/>
    <col min="12" max="12" width="13.28515625" customWidth="1"/>
    <col min="13" max="13" width="10.140625" customWidth="1"/>
    <col min="14" max="14" width="12.42578125" customWidth="1"/>
    <col min="15" max="15" width="11.42578125" customWidth="1"/>
    <col min="16" max="16" width="7.85546875" customWidth="1"/>
  </cols>
  <sheetData>
    <row r="1" spans="1:16" ht="15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13</v>
      </c>
      <c r="H1" s="5" t="s">
        <v>16</v>
      </c>
      <c r="I1" s="5" t="s">
        <v>17</v>
      </c>
      <c r="K1" s="1" t="s">
        <v>6</v>
      </c>
      <c r="L1" s="1"/>
      <c r="M1" s="1"/>
      <c r="N1" s="1"/>
    </row>
    <row r="2" spans="1:16" x14ac:dyDescent="0.25">
      <c r="A2" s="6">
        <v>12</v>
      </c>
      <c r="B2" s="7">
        <v>18</v>
      </c>
      <c r="C2" s="7">
        <v>3</v>
      </c>
      <c r="D2" s="7">
        <v>0</v>
      </c>
      <c r="E2" s="8">
        <v>0</v>
      </c>
      <c r="F2" s="9">
        <v>0</v>
      </c>
      <c r="G2" s="9">
        <f t="shared" ref="G2:G65" si="0">A2*$L$3+B2*$L$4+C2*$L$5</f>
        <v>7.1669999999999998</v>
      </c>
      <c r="H2" s="9">
        <f>G2-$L$11</f>
        <v>-1.8644440271493217</v>
      </c>
      <c r="I2" s="9">
        <f>IF(H2&lt;0,0,1)</f>
        <v>0</v>
      </c>
      <c r="K2" s="1" t="s">
        <v>7</v>
      </c>
      <c r="L2" s="1"/>
      <c r="M2" s="1"/>
      <c r="N2" s="1"/>
      <c r="O2" s="1"/>
      <c r="P2" s="1"/>
    </row>
    <row r="3" spans="1:16" x14ac:dyDescent="0.25">
      <c r="A3" s="6">
        <v>12</v>
      </c>
      <c r="B3" s="7">
        <v>19</v>
      </c>
      <c r="C3" s="7">
        <v>2</v>
      </c>
      <c r="D3" s="7">
        <v>0</v>
      </c>
      <c r="E3" s="8">
        <v>0</v>
      </c>
      <c r="F3" s="9">
        <v>0</v>
      </c>
      <c r="G3" s="9">
        <f t="shared" si="0"/>
        <v>6.8969999999999994</v>
      </c>
      <c r="H3" s="9">
        <f t="shared" ref="H3:H66" si="1">G3-$L$11</f>
        <v>-2.1344440271493221</v>
      </c>
      <c r="I3" s="9">
        <f t="shared" ref="I3:I66" si="2">IF(H3&lt;0,0,1)</f>
        <v>0</v>
      </c>
      <c r="K3" s="15" t="s">
        <v>8</v>
      </c>
      <c r="L3" s="15">
        <v>0.40899999999999997</v>
      </c>
      <c r="M3" s="1"/>
      <c r="N3" s="1"/>
      <c r="O3" s="1"/>
      <c r="P3" s="1"/>
    </row>
    <row r="4" spans="1:16" x14ac:dyDescent="0.25">
      <c r="A4" s="6">
        <v>11</v>
      </c>
      <c r="B4" s="7">
        <v>20</v>
      </c>
      <c r="C4" s="7">
        <v>1</v>
      </c>
      <c r="D4" s="7">
        <v>0</v>
      </c>
      <c r="E4" s="8">
        <v>0</v>
      </c>
      <c r="F4" s="9">
        <v>0</v>
      </c>
      <c r="G4" s="9">
        <f t="shared" si="0"/>
        <v>6.218</v>
      </c>
      <c r="H4" s="9">
        <f t="shared" si="1"/>
        <v>-2.8134440271493215</v>
      </c>
      <c r="I4" s="9">
        <f t="shared" si="2"/>
        <v>0</v>
      </c>
      <c r="K4" s="15" t="s">
        <v>9</v>
      </c>
      <c r="L4" s="15">
        <v>6.9000000000000006E-2</v>
      </c>
      <c r="M4" s="1"/>
      <c r="N4" s="1"/>
      <c r="O4" s="1"/>
      <c r="P4" s="1"/>
    </row>
    <row r="5" spans="1:16" x14ac:dyDescent="0.25">
      <c r="A5" s="6">
        <v>12</v>
      </c>
      <c r="B5" s="7">
        <v>20</v>
      </c>
      <c r="C5" s="7">
        <v>3</v>
      </c>
      <c r="D5" s="7">
        <v>1</v>
      </c>
      <c r="E5" s="8">
        <v>1</v>
      </c>
      <c r="F5" s="9">
        <v>0</v>
      </c>
      <c r="G5" s="9">
        <f t="shared" si="0"/>
        <v>7.3049999999999997</v>
      </c>
      <c r="H5" s="9">
        <f t="shared" si="1"/>
        <v>-1.7264440271493218</v>
      </c>
      <c r="I5" s="9">
        <f t="shared" si="2"/>
        <v>0</v>
      </c>
      <c r="K5" s="15" t="s">
        <v>10</v>
      </c>
      <c r="L5" s="15">
        <v>0.33900000000000002</v>
      </c>
      <c r="M5" s="1"/>
      <c r="N5" s="1"/>
      <c r="O5" s="1"/>
      <c r="P5" s="1"/>
    </row>
    <row r="6" spans="1:16" x14ac:dyDescent="0.25">
      <c r="A6" s="6">
        <v>12</v>
      </c>
      <c r="B6" s="7">
        <v>20</v>
      </c>
      <c r="C6" s="7">
        <v>4</v>
      </c>
      <c r="D6" s="7">
        <v>0</v>
      </c>
      <c r="E6" s="8">
        <v>1</v>
      </c>
      <c r="F6" s="9">
        <v>1</v>
      </c>
      <c r="G6" s="9">
        <f t="shared" si="0"/>
        <v>7.6439999999999992</v>
      </c>
      <c r="H6" s="9">
        <f t="shared" si="1"/>
        <v>-1.3874440271493222</v>
      </c>
      <c r="I6" s="9">
        <f t="shared" si="2"/>
        <v>0</v>
      </c>
      <c r="K6" s="1"/>
      <c r="L6" s="1"/>
      <c r="M6" s="1"/>
      <c r="N6" s="1"/>
      <c r="O6" s="1"/>
      <c r="P6" s="1"/>
    </row>
    <row r="7" spans="1:16" x14ac:dyDescent="0.25">
      <c r="A7" s="6">
        <v>11</v>
      </c>
      <c r="B7" s="7">
        <v>20</v>
      </c>
      <c r="C7" s="7">
        <v>4</v>
      </c>
      <c r="D7" s="7">
        <v>2</v>
      </c>
      <c r="E7" s="8">
        <v>1</v>
      </c>
      <c r="F7" s="9">
        <v>1</v>
      </c>
      <c r="G7" s="9">
        <f t="shared" si="0"/>
        <v>7.2349999999999994</v>
      </c>
      <c r="H7" s="9">
        <f t="shared" si="1"/>
        <v>-1.7964440271493221</v>
      </c>
      <c r="I7" s="9">
        <f t="shared" si="2"/>
        <v>0</v>
      </c>
      <c r="K7" s="15"/>
      <c r="L7" s="16" t="s">
        <v>0</v>
      </c>
      <c r="M7" s="16" t="s">
        <v>1</v>
      </c>
      <c r="N7" s="16" t="s">
        <v>2</v>
      </c>
      <c r="O7" s="16" t="s">
        <v>13</v>
      </c>
      <c r="P7" s="16" t="s">
        <v>15</v>
      </c>
    </row>
    <row r="8" spans="1:16" x14ac:dyDescent="0.25">
      <c r="A8" s="6">
        <v>10</v>
      </c>
      <c r="B8" s="7">
        <v>20</v>
      </c>
      <c r="C8" s="7">
        <v>5</v>
      </c>
      <c r="D8" s="7">
        <v>0</v>
      </c>
      <c r="E8" s="8">
        <v>0</v>
      </c>
      <c r="F8" s="9">
        <v>1</v>
      </c>
      <c r="G8" s="9">
        <f t="shared" si="0"/>
        <v>7.165</v>
      </c>
      <c r="H8" s="9">
        <f t="shared" si="1"/>
        <v>-1.8664440271493214</v>
      </c>
      <c r="I8" s="9">
        <f t="shared" si="2"/>
        <v>0</v>
      </c>
      <c r="K8" s="15" t="s">
        <v>11</v>
      </c>
      <c r="L8" s="15">
        <v>12.3</v>
      </c>
      <c r="M8" s="15">
        <v>30.5</v>
      </c>
      <c r="N8" s="15">
        <v>1.95</v>
      </c>
      <c r="O8" s="15">
        <f>L8*$L$3+M8*$L$4+N8*$L$5</f>
        <v>7.7962500000000015</v>
      </c>
      <c r="P8" s="15">
        <v>113</v>
      </c>
    </row>
    <row r="9" spans="1:16" x14ac:dyDescent="0.25">
      <c r="A9" s="6">
        <v>12</v>
      </c>
      <c r="B9" s="7">
        <v>20</v>
      </c>
      <c r="C9" s="7">
        <v>5</v>
      </c>
      <c r="D9" s="7">
        <v>2</v>
      </c>
      <c r="E9" s="8">
        <v>0</v>
      </c>
      <c r="F9" s="9">
        <v>1</v>
      </c>
      <c r="G9" s="9">
        <f t="shared" si="0"/>
        <v>7.9829999999999997</v>
      </c>
      <c r="H9" s="9">
        <f t="shared" si="1"/>
        <v>-1.0484440271493218</v>
      </c>
      <c r="I9" s="9">
        <f t="shared" si="2"/>
        <v>0</v>
      </c>
      <c r="K9" s="15" t="s">
        <v>12</v>
      </c>
      <c r="L9" s="15">
        <v>13.7</v>
      </c>
      <c r="M9" s="15">
        <v>43.5</v>
      </c>
      <c r="N9" s="15">
        <v>2.5099999999999998</v>
      </c>
      <c r="O9" s="15">
        <f>L9*$L$3+M9*$L$4+N9*$L$5</f>
        <v>9.4556899999999988</v>
      </c>
      <c r="P9" s="15">
        <v>329</v>
      </c>
    </row>
    <row r="10" spans="1:16" x14ac:dyDescent="0.25">
      <c r="A10" s="6">
        <v>13</v>
      </c>
      <c r="B10" s="7">
        <v>21</v>
      </c>
      <c r="C10" s="7">
        <v>1</v>
      </c>
      <c r="D10" s="7">
        <v>0</v>
      </c>
      <c r="E10" s="8">
        <v>0</v>
      </c>
      <c r="F10" s="9">
        <v>0</v>
      </c>
      <c r="G10" s="9">
        <f t="shared" si="0"/>
        <v>7.1049999999999995</v>
      </c>
      <c r="H10" s="9">
        <f t="shared" si="1"/>
        <v>-1.9264440271493219</v>
      </c>
      <c r="I10" s="9">
        <f t="shared" si="2"/>
        <v>0</v>
      </c>
      <c r="K10" s="1"/>
      <c r="L10" s="1"/>
      <c r="M10" s="1"/>
      <c r="N10" s="1"/>
      <c r="O10" s="1"/>
      <c r="P10" s="1"/>
    </row>
    <row r="11" spans="1:16" x14ac:dyDescent="0.25">
      <c r="A11" s="6">
        <v>12</v>
      </c>
      <c r="B11" s="7">
        <v>21</v>
      </c>
      <c r="C11" s="7">
        <v>1</v>
      </c>
      <c r="D11" s="7">
        <v>4</v>
      </c>
      <c r="E11" s="8">
        <v>0</v>
      </c>
      <c r="F11" s="9">
        <v>0</v>
      </c>
      <c r="G11" s="9">
        <f t="shared" si="0"/>
        <v>6.6959999999999997</v>
      </c>
      <c r="H11" s="9">
        <f t="shared" si="1"/>
        <v>-2.3354440271493218</v>
      </c>
      <c r="I11" s="9">
        <f t="shared" si="2"/>
        <v>0</v>
      </c>
      <c r="K11" s="15" t="s">
        <v>14</v>
      </c>
      <c r="L11" s="15">
        <f>(O8*P8+O9*P9)/(P8+P9)</f>
        <v>9.0314440271493215</v>
      </c>
      <c r="M11" s="1"/>
      <c r="N11" s="1"/>
      <c r="O11" s="1"/>
      <c r="P11" s="1"/>
    </row>
    <row r="12" spans="1:16" x14ac:dyDescent="0.25">
      <c r="A12" s="6">
        <v>12</v>
      </c>
      <c r="B12" s="7">
        <v>21</v>
      </c>
      <c r="C12" s="7">
        <v>1</v>
      </c>
      <c r="D12" s="7">
        <v>0</v>
      </c>
      <c r="E12" s="8">
        <v>0</v>
      </c>
      <c r="F12" s="9">
        <v>0</v>
      </c>
      <c r="G12" s="9">
        <f t="shared" si="0"/>
        <v>6.6959999999999997</v>
      </c>
      <c r="H12" s="9">
        <f t="shared" si="1"/>
        <v>-2.3354440271493218</v>
      </c>
      <c r="I12" s="9">
        <f t="shared" si="2"/>
        <v>0</v>
      </c>
      <c r="K12" s="1"/>
      <c r="L12" s="1"/>
      <c r="M12" s="1"/>
      <c r="N12" s="1"/>
      <c r="O12" s="1"/>
      <c r="P12" s="1"/>
    </row>
    <row r="13" spans="1:16" x14ac:dyDescent="0.25">
      <c r="A13" s="6">
        <v>13</v>
      </c>
      <c r="B13" s="7">
        <v>21</v>
      </c>
      <c r="C13" s="7">
        <v>2</v>
      </c>
      <c r="D13" s="7">
        <v>2</v>
      </c>
      <c r="E13" s="8">
        <v>0</v>
      </c>
      <c r="F13" s="9">
        <v>0</v>
      </c>
      <c r="G13" s="9">
        <f t="shared" si="0"/>
        <v>7.4439999999999991</v>
      </c>
      <c r="H13" s="9">
        <f t="shared" si="1"/>
        <v>-1.5874440271493224</v>
      </c>
      <c r="I13" s="9">
        <f t="shared" si="2"/>
        <v>0</v>
      </c>
      <c r="K13" s="1"/>
      <c r="L13" s="1"/>
      <c r="M13" s="1"/>
      <c r="N13" s="1"/>
      <c r="O13" s="1"/>
      <c r="P13" s="1"/>
    </row>
    <row r="14" spans="1:16" x14ac:dyDescent="0.25">
      <c r="A14" s="6">
        <v>13</v>
      </c>
      <c r="B14" s="7">
        <v>21</v>
      </c>
      <c r="C14" s="7">
        <v>2</v>
      </c>
      <c r="D14" s="7">
        <v>0</v>
      </c>
      <c r="E14" s="8">
        <v>0</v>
      </c>
      <c r="F14" s="9">
        <v>0</v>
      </c>
      <c r="G14" s="9">
        <f t="shared" si="0"/>
        <v>7.4439999999999991</v>
      </c>
      <c r="H14" s="9">
        <f t="shared" si="1"/>
        <v>-1.5874440271493224</v>
      </c>
      <c r="I14" s="9">
        <f t="shared" si="2"/>
        <v>0</v>
      </c>
    </row>
    <row r="15" spans="1:16" x14ac:dyDescent="0.25">
      <c r="A15" s="6">
        <v>13</v>
      </c>
      <c r="B15" s="7">
        <v>21</v>
      </c>
      <c r="C15" s="7">
        <v>2</v>
      </c>
      <c r="D15" s="7">
        <v>1</v>
      </c>
      <c r="E15" s="8">
        <v>1</v>
      </c>
      <c r="F15" s="9">
        <v>0</v>
      </c>
      <c r="G15" s="9">
        <f t="shared" si="0"/>
        <v>7.4439999999999991</v>
      </c>
      <c r="H15" s="9">
        <f t="shared" si="1"/>
        <v>-1.5874440271493224</v>
      </c>
      <c r="I15" s="9">
        <f t="shared" si="2"/>
        <v>0</v>
      </c>
    </row>
    <row r="16" spans="1:16" x14ac:dyDescent="0.25">
      <c r="A16" s="6">
        <v>12</v>
      </c>
      <c r="B16" s="7">
        <v>21</v>
      </c>
      <c r="C16" s="7">
        <v>2</v>
      </c>
      <c r="D16" s="7">
        <v>6</v>
      </c>
      <c r="E16" s="8">
        <v>0</v>
      </c>
      <c r="F16" s="9">
        <v>0</v>
      </c>
      <c r="G16" s="9">
        <f t="shared" si="0"/>
        <v>7.0349999999999993</v>
      </c>
      <c r="H16" s="9">
        <f t="shared" si="1"/>
        <v>-1.9964440271493222</v>
      </c>
      <c r="I16" s="9">
        <f t="shared" si="2"/>
        <v>0</v>
      </c>
    </row>
    <row r="17" spans="1:9" x14ac:dyDescent="0.25">
      <c r="A17" s="6">
        <v>13</v>
      </c>
      <c r="B17" s="7">
        <v>21</v>
      </c>
      <c r="C17" s="7">
        <v>2</v>
      </c>
      <c r="D17" s="7">
        <v>0</v>
      </c>
      <c r="E17" s="8">
        <v>0</v>
      </c>
      <c r="F17" s="9">
        <v>0</v>
      </c>
      <c r="G17" s="9">
        <f t="shared" si="0"/>
        <v>7.4439999999999991</v>
      </c>
      <c r="H17" s="9">
        <f t="shared" si="1"/>
        <v>-1.5874440271493224</v>
      </c>
      <c r="I17" s="9">
        <f t="shared" si="2"/>
        <v>0</v>
      </c>
    </row>
    <row r="18" spans="1:9" x14ac:dyDescent="0.25">
      <c r="A18" s="6">
        <v>10</v>
      </c>
      <c r="B18" s="7">
        <v>21</v>
      </c>
      <c r="C18" s="7">
        <v>4</v>
      </c>
      <c r="D18" s="7">
        <v>1</v>
      </c>
      <c r="E18" s="8">
        <v>0</v>
      </c>
      <c r="F18" s="9">
        <v>1</v>
      </c>
      <c r="G18" s="9">
        <f t="shared" si="0"/>
        <v>6.8949999999999996</v>
      </c>
      <c r="H18" s="9">
        <f t="shared" si="1"/>
        <v>-2.1364440271493219</v>
      </c>
      <c r="I18" s="9">
        <f t="shared" si="2"/>
        <v>0</v>
      </c>
    </row>
    <row r="19" spans="1:9" x14ac:dyDescent="0.25">
      <c r="A19" s="6">
        <v>12</v>
      </c>
      <c r="B19" s="7">
        <v>21</v>
      </c>
      <c r="C19" s="7">
        <v>4</v>
      </c>
      <c r="D19" s="7">
        <v>0</v>
      </c>
      <c r="E19" s="8">
        <v>0</v>
      </c>
      <c r="F19" s="9">
        <v>1</v>
      </c>
      <c r="G19" s="9">
        <f t="shared" si="0"/>
        <v>7.7129999999999992</v>
      </c>
      <c r="H19" s="9">
        <f t="shared" si="1"/>
        <v>-1.3184440271493223</v>
      </c>
      <c r="I19" s="9">
        <f t="shared" si="2"/>
        <v>0</v>
      </c>
    </row>
    <row r="20" spans="1:9" x14ac:dyDescent="0.25">
      <c r="A20" s="6">
        <v>11</v>
      </c>
      <c r="B20" s="7">
        <v>22</v>
      </c>
      <c r="C20" s="7">
        <v>1</v>
      </c>
      <c r="D20" s="7">
        <v>5</v>
      </c>
      <c r="E20" s="8">
        <v>0</v>
      </c>
      <c r="F20" s="9">
        <v>0</v>
      </c>
      <c r="G20" s="9">
        <f t="shared" si="0"/>
        <v>6.3559999999999999</v>
      </c>
      <c r="H20" s="9">
        <f t="shared" si="1"/>
        <v>-2.6754440271493216</v>
      </c>
      <c r="I20" s="9">
        <f t="shared" si="2"/>
        <v>0</v>
      </c>
    </row>
    <row r="21" spans="1:9" x14ac:dyDescent="0.25">
      <c r="A21" s="6">
        <v>12</v>
      </c>
      <c r="B21" s="7">
        <v>22</v>
      </c>
      <c r="C21" s="7">
        <v>1</v>
      </c>
      <c r="D21" s="7">
        <v>1</v>
      </c>
      <c r="E21" s="8">
        <v>1</v>
      </c>
      <c r="F21" s="9">
        <v>0</v>
      </c>
      <c r="G21" s="9">
        <f t="shared" si="0"/>
        <v>6.7650000000000006</v>
      </c>
      <c r="H21" s="9">
        <f t="shared" si="1"/>
        <v>-2.2664440271493209</v>
      </c>
      <c r="I21" s="9">
        <f t="shared" si="2"/>
        <v>0</v>
      </c>
    </row>
    <row r="22" spans="1:9" x14ac:dyDescent="0.25">
      <c r="A22" s="6">
        <v>15</v>
      </c>
      <c r="B22" s="7">
        <v>22</v>
      </c>
      <c r="C22" s="7">
        <v>1</v>
      </c>
      <c r="D22" s="7">
        <v>4</v>
      </c>
      <c r="E22" s="8">
        <v>0</v>
      </c>
      <c r="F22" s="9">
        <v>1</v>
      </c>
      <c r="G22" s="9">
        <f t="shared" si="0"/>
        <v>7.9920000000000009</v>
      </c>
      <c r="H22" s="9">
        <f t="shared" si="1"/>
        <v>-1.0394440271493206</v>
      </c>
      <c r="I22" s="9">
        <f t="shared" si="2"/>
        <v>0</v>
      </c>
    </row>
    <row r="23" spans="1:9" x14ac:dyDescent="0.25">
      <c r="A23" s="6">
        <v>15</v>
      </c>
      <c r="B23" s="7">
        <v>22</v>
      </c>
      <c r="C23" s="7">
        <v>1</v>
      </c>
      <c r="D23" s="7">
        <v>0</v>
      </c>
      <c r="E23" s="8">
        <v>0</v>
      </c>
      <c r="F23" s="9">
        <v>1</v>
      </c>
      <c r="G23" s="9">
        <f t="shared" si="0"/>
        <v>7.9920000000000009</v>
      </c>
      <c r="H23" s="9">
        <f t="shared" si="1"/>
        <v>-1.0394440271493206</v>
      </c>
      <c r="I23" s="9">
        <f t="shared" si="2"/>
        <v>0</v>
      </c>
    </row>
    <row r="24" spans="1:9" x14ac:dyDescent="0.25">
      <c r="A24" s="6">
        <v>16</v>
      </c>
      <c r="B24" s="7">
        <v>22</v>
      </c>
      <c r="C24" s="7">
        <v>1</v>
      </c>
      <c r="D24" s="7">
        <v>6</v>
      </c>
      <c r="E24" s="8">
        <v>0</v>
      </c>
      <c r="F24" s="9">
        <v>1</v>
      </c>
      <c r="G24" s="9">
        <f t="shared" si="0"/>
        <v>8.4009999999999998</v>
      </c>
      <c r="H24" s="9">
        <f t="shared" si="1"/>
        <v>-0.63044402714932168</v>
      </c>
      <c r="I24" s="9">
        <f t="shared" si="2"/>
        <v>0</v>
      </c>
    </row>
    <row r="25" spans="1:9" x14ac:dyDescent="0.25">
      <c r="A25" s="6">
        <v>12</v>
      </c>
      <c r="B25" s="7">
        <v>22</v>
      </c>
      <c r="C25" s="7">
        <v>2</v>
      </c>
      <c r="D25" s="7">
        <v>1</v>
      </c>
      <c r="E25" s="8">
        <v>0</v>
      </c>
      <c r="F25" s="9">
        <v>0</v>
      </c>
      <c r="G25" s="9">
        <f t="shared" si="0"/>
        <v>7.1040000000000001</v>
      </c>
      <c r="H25" s="9">
        <f t="shared" si="1"/>
        <v>-1.9274440271493214</v>
      </c>
      <c r="I25" s="9">
        <f t="shared" si="2"/>
        <v>0</v>
      </c>
    </row>
    <row r="26" spans="1:9" x14ac:dyDescent="0.25">
      <c r="A26" s="6">
        <v>12</v>
      </c>
      <c r="B26" s="7">
        <v>22</v>
      </c>
      <c r="C26" s="7">
        <v>2</v>
      </c>
      <c r="D26" s="7">
        <v>0</v>
      </c>
      <c r="E26" s="8">
        <v>0</v>
      </c>
      <c r="F26" s="9">
        <v>0</v>
      </c>
      <c r="G26" s="9">
        <f t="shared" si="0"/>
        <v>7.1040000000000001</v>
      </c>
      <c r="H26" s="9">
        <f t="shared" si="1"/>
        <v>-1.9274440271493214</v>
      </c>
      <c r="I26" s="9">
        <f t="shared" si="2"/>
        <v>0</v>
      </c>
    </row>
    <row r="27" spans="1:9" x14ac:dyDescent="0.25">
      <c r="A27" s="6">
        <v>13</v>
      </c>
      <c r="B27" s="7">
        <v>22</v>
      </c>
      <c r="C27" s="7">
        <v>2</v>
      </c>
      <c r="D27" s="7">
        <v>2</v>
      </c>
      <c r="E27" s="8">
        <v>0</v>
      </c>
      <c r="F27" s="9">
        <v>0</v>
      </c>
      <c r="G27" s="9">
        <f t="shared" si="0"/>
        <v>7.512999999999999</v>
      </c>
      <c r="H27" s="9">
        <f t="shared" si="1"/>
        <v>-1.5184440271493225</v>
      </c>
      <c r="I27" s="9">
        <f t="shared" si="2"/>
        <v>0</v>
      </c>
    </row>
    <row r="28" spans="1:9" x14ac:dyDescent="0.25">
      <c r="A28" s="6">
        <v>15</v>
      </c>
      <c r="B28" s="7">
        <v>22</v>
      </c>
      <c r="C28" s="7">
        <v>2</v>
      </c>
      <c r="D28" s="7">
        <v>0</v>
      </c>
      <c r="E28" s="8">
        <v>0</v>
      </c>
      <c r="F28" s="9">
        <v>0</v>
      </c>
      <c r="G28" s="9">
        <f t="shared" si="0"/>
        <v>8.3310000000000013</v>
      </c>
      <c r="H28" s="9">
        <f t="shared" si="1"/>
        <v>-0.70044402714932019</v>
      </c>
      <c r="I28" s="9">
        <f t="shared" si="2"/>
        <v>0</v>
      </c>
    </row>
    <row r="29" spans="1:9" x14ac:dyDescent="0.25">
      <c r="A29" s="6">
        <v>15</v>
      </c>
      <c r="B29" s="7">
        <v>22</v>
      </c>
      <c r="C29" s="7">
        <v>2</v>
      </c>
      <c r="D29" s="7">
        <v>0</v>
      </c>
      <c r="E29" s="8">
        <v>0</v>
      </c>
      <c r="F29" s="9">
        <v>1</v>
      </c>
      <c r="G29" s="9">
        <f t="shared" si="0"/>
        <v>8.3310000000000013</v>
      </c>
      <c r="H29" s="9">
        <f t="shared" si="1"/>
        <v>-0.70044402714932019</v>
      </c>
      <c r="I29" s="9">
        <f t="shared" si="2"/>
        <v>0</v>
      </c>
    </row>
    <row r="30" spans="1:9" x14ac:dyDescent="0.25">
      <c r="A30" s="6">
        <v>15</v>
      </c>
      <c r="B30" s="7">
        <v>22</v>
      </c>
      <c r="C30" s="7">
        <v>2</v>
      </c>
      <c r="D30" s="7">
        <v>1</v>
      </c>
      <c r="E30" s="8">
        <v>0</v>
      </c>
      <c r="F30" s="9">
        <v>1</v>
      </c>
      <c r="G30" s="9">
        <f t="shared" si="0"/>
        <v>8.3310000000000013</v>
      </c>
      <c r="H30" s="9">
        <f t="shared" si="1"/>
        <v>-0.70044402714932019</v>
      </c>
      <c r="I30" s="9">
        <f t="shared" si="2"/>
        <v>0</v>
      </c>
    </row>
    <row r="31" spans="1:9" x14ac:dyDescent="0.25">
      <c r="A31" s="6">
        <v>15</v>
      </c>
      <c r="B31" s="7">
        <v>22</v>
      </c>
      <c r="C31" s="7">
        <v>4</v>
      </c>
      <c r="D31" s="7">
        <v>3</v>
      </c>
      <c r="E31" s="8">
        <v>0</v>
      </c>
      <c r="F31" s="9">
        <v>1</v>
      </c>
      <c r="G31" s="9">
        <f t="shared" si="0"/>
        <v>9.0090000000000003</v>
      </c>
      <c r="H31" s="9">
        <f t="shared" si="1"/>
        <v>-2.2444027149321144E-2</v>
      </c>
      <c r="I31" s="9">
        <f t="shared" si="2"/>
        <v>0</v>
      </c>
    </row>
    <row r="32" spans="1:9" x14ac:dyDescent="0.25">
      <c r="A32" s="6">
        <v>12</v>
      </c>
      <c r="B32" s="7">
        <v>23</v>
      </c>
      <c r="C32" s="7">
        <v>0</v>
      </c>
      <c r="D32" s="7">
        <v>0</v>
      </c>
      <c r="E32" s="8">
        <v>1</v>
      </c>
      <c r="F32" s="9">
        <v>0</v>
      </c>
      <c r="G32" s="9">
        <f t="shared" si="0"/>
        <v>6.4949999999999992</v>
      </c>
      <c r="H32" s="9">
        <f t="shared" si="1"/>
        <v>-2.5364440271493223</v>
      </c>
      <c r="I32" s="9">
        <f t="shared" si="2"/>
        <v>0</v>
      </c>
    </row>
    <row r="33" spans="1:9" x14ac:dyDescent="0.25">
      <c r="A33" s="6">
        <v>12</v>
      </c>
      <c r="B33" s="7">
        <v>23</v>
      </c>
      <c r="C33" s="7">
        <v>1</v>
      </c>
      <c r="D33" s="7">
        <v>4</v>
      </c>
      <c r="E33" s="8">
        <v>1</v>
      </c>
      <c r="F33" s="9">
        <v>0</v>
      </c>
      <c r="G33" s="9">
        <f t="shared" si="0"/>
        <v>6.8339999999999996</v>
      </c>
      <c r="H33" s="9">
        <f t="shared" si="1"/>
        <v>-2.1974440271493219</v>
      </c>
      <c r="I33" s="9">
        <f t="shared" si="2"/>
        <v>0</v>
      </c>
    </row>
    <row r="34" spans="1:9" x14ac:dyDescent="0.25">
      <c r="A34" s="6">
        <v>13</v>
      </c>
      <c r="B34" s="7">
        <v>23</v>
      </c>
      <c r="C34" s="7">
        <v>1</v>
      </c>
      <c r="D34" s="7">
        <v>0</v>
      </c>
      <c r="E34" s="8">
        <v>0</v>
      </c>
      <c r="F34" s="9">
        <v>0</v>
      </c>
      <c r="G34" s="9">
        <f t="shared" si="0"/>
        <v>7.2430000000000003</v>
      </c>
      <c r="H34" s="9">
        <f t="shared" si="1"/>
        <v>-1.7884440271493212</v>
      </c>
      <c r="I34" s="9">
        <f t="shared" si="2"/>
        <v>0</v>
      </c>
    </row>
    <row r="35" spans="1:9" x14ac:dyDescent="0.25">
      <c r="A35" s="6">
        <v>15</v>
      </c>
      <c r="B35" s="7">
        <v>23</v>
      </c>
      <c r="C35" s="7">
        <v>1</v>
      </c>
      <c r="D35" s="7">
        <v>0</v>
      </c>
      <c r="E35" s="8">
        <v>1</v>
      </c>
      <c r="F35" s="9">
        <v>1</v>
      </c>
      <c r="G35" s="9">
        <f t="shared" si="0"/>
        <v>8.0609999999999999</v>
      </c>
      <c r="H35" s="9">
        <f t="shared" si="1"/>
        <v>-0.97044402714932154</v>
      </c>
      <c r="I35" s="9">
        <f t="shared" si="2"/>
        <v>0</v>
      </c>
    </row>
    <row r="36" spans="1:9" x14ac:dyDescent="0.25">
      <c r="A36" s="6">
        <v>15</v>
      </c>
      <c r="B36" s="7">
        <v>23</v>
      </c>
      <c r="C36" s="7">
        <v>1</v>
      </c>
      <c r="D36" s="7">
        <v>0</v>
      </c>
      <c r="E36" s="8">
        <v>0</v>
      </c>
      <c r="F36" s="9">
        <v>1</v>
      </c>
      <c r="G36" s="9">
        <f t="shared" si="0"/>
        <v>8.0609999999999999</v>
      </c>
      <c r="H36" s="9">
        <f t="shared" si="1"/>
        <v>-0.97044402714932154</v>
      </c>
      <c r="I36" s="9">
        <f t="shared" si="2"/>
        <v>0</v>
      </c>
    </row>
    <row r="37" spans="1:9" x14ac:dyDescent="0.25">
      <c r="A37" s="6">
        <v>12</v>
      </c>
      <c r="B37" s="7">
        <v>23</v>
      </c>
      <c r="C37" s="7">
        <v>2</v>
      </c>
      <c r="D37" s="7">
        <v>1</v>
      </c>
      <c r="E37" s="8">
        <v>0</v>
      </c>
      <c r="F37" s="9">
        <v>0</v>
      </c>
      <c r="G37" s="9">
        <f t="shared" si="0"/>
        <v>7.1729999999999992</v>
      </c>
      <c r="H37" s="9">
        <f t="shared" si="1"/>
        <v>-1.8584440271493223</v>
      </c>
      <c r="I37" s="9">
        <f t="shared" si="2"/>
        <v>0</v>
      </c>
    </row>
    <row r="38" spans="1:9" x14ac:dyDescent="0.25">
      <c r="A38" s="6">
        <v>13</v>
      </c>
      <c r="B38" s="7">
        <v>23</v>
      </c>
      <c r="C38" s="7">
        <v>2</v>
      </c>
      <c r="D38" s="7">
        <v>1</v>
      </c>
      <c r="E38" s="8">
        <v>0</v>
      </c>
      <c r="F38" s="9">
        <v>0</v>
      </c>
      <c r="G38" s="9">
        <f t="shared" si="0"/>
        <v>7.5819999999999999</v>
      </c>
      <c r="H38" s="9">
        <f t="shared" si="1"/>
        <v>-1.4494440271493216</v>
      </c>
      <c r="I38" s="9">
        <f t="shared" si="2"/>
        <v>0</v>
      </c>
    </row>
    <row r="39" spans="1:9" x14ac:dyDescent="0.25">
      <c r="A39" s="6">
        <v>16</v>
      </c>
      <c r="B39" s="7">
        <v>23</v>
      </c>
      <c r="C39" s="7">
        <v>2</v>
      </c>
      <c r="D39" s="7">
        <v>2</v>
      </c>
      <c r="E39" s="8">
        <v>0</v>
      </c>
      <c r="F39" s="9">
        <v>1</v>
      </c>
      <c r="G39" s="9">
        <f t="shared" si="0"/>
        <v>8.8090000000000011</v>
      </c>
      <c r="H39" s="9">
        <f t="shared" si="1"/>
        <v>-0.22244402714932043</v>
      </c>
      <c r="I39" s="9">
        <f t="shared" si="2"/>
        <v>0</v>
      </c>
    </row>
    <row r="40" spans="1:9" x14ac:dyDescent="0.25">
      <c r="A40" s="6">
        <v>15</v>
      </c>
      <c r="B40" s="7">
        <v>23</v>
      </c>
      <c r="C40" s="7">
        <v>3</v>
      </c>
      <c r="D40" s="7">
        <v>1</v>
      </c>
      <c r="E40" s="8">
        <v>0</v>
      </c>
      <c r="F40" s="9">
        <v>1</v>
      </c>
      <c r="G40" s="9">
        <f t="shared" si="0"/>
        <v>8.738999999999999</v>
      </c>
      <c r="H40" s="9">
        <f t="shared" si="1"/>
        <v>-0.29244402714932249</v>
      </c>
      <c r="I40" s="9">
        <f t="shared" si="2"/>
        <v>0</v>
      </c>
    </row>
    <row r="41" spans="1:9" x14ac:dyDescent="0.25">
      <c r="A41" s="6">
        <v>15</v>
      </c>
      <c r="B41" s="7">
        <v>23</v>
      </c>
      <c r="C41" s="7">
        <v>3</v>
      </c>
      <c r="D41" s="7">
        <v>3</v>
      </c>
      <c r="E41" s="8">
        <v>0</v>
      </c>
      <c r="F41" s="9">
        <v>1</v>
      </c>
      <c r="G41" s="9">
        <f t="shared" si="0"/>
        <v>8.738999999999999</v>
      </c>
      <c r="H41" s="9">
        <f t="shared" si="1"/>
        <v>-0.29244402714932249</v>
      </c>
      <c r="I41" s="9">
        <f t="shared" si="2"/>
        <v>0</v>
      </c>
    </row>
    <row r="42" spans="1:9" x14ac:dyDescent="0.25">
      <c r="A42" s="6">
        <v>12</v>
      </c>
      <c r="B42" s="7">
        <v>23</v>
      </c>
      <c r="C42" s="7">
        <v>3</v>
      </c>
      <c r="D42" s="7">
        <v>3</v>
      </c>
      <c r="E42" s="8">
        <v>0</v>
      </c>
      <c r="F42" s="9">
        <v>0</v>
      </c>
      <c r="G42" s="9">
        <f t="shared" si="0"/>
        <v>7.5119999999999996</v>
      </c>
      <c r="H42" s="9">
        <f t="shared" si="1"/>
        <v>-1.5194440271493219</v>
      </c>
      <c r="I42" s="9">
        <f t="shared" si="2"/>
        <v>0</v>
      </c>
    </row>
    <row r="43" spans="1:9" x14ac:dyDescent="0.25">
      <c r="A43" s="6">
        <v>16</v>
      </c>
      <c r="B43" s="7">
        <v>23</v>
      </c>
      <c r="C43" s="7">
        <v>3</v>
      </c>
      <c r="D43" s="7">
        <v>3</v>
      </c>
      <c r="E43" s="8">
        <v>0</v>
      </c>
      <c r="F43" s="9">
        <v>1</v>
      </c>
      <c r="G43" s="9">
        <f t="shared" si="0"/>
        <v>9.1479999999999997</v>
      </c>
      <c r="H43" s="9">
        <f t="shared" si="1"/>
        <v>0.1165559728506782</v>
      </c>
      <c r="I43" s="9">
        <f t="shared" si="2"/>
        <v>1</v>
      </c>
    </row>
    <row r="44" spans="1:9" x14ac:dyDescent="0.25">
      <c r="A44" s="6">
        <v>10</v>
      </c>
      <c r="B44" s="7">
        <v>23</v>
      </c>
      <c r="C44" s="7">
        <v>4</v>
      </c>
      <c r="D44" s="7">
        <v>4</v>
      </c>
      <c r="E44" s="8">
        <v>1</v>
      </c>
      <c r="F44" s="9">
        <v>0</v>
      </c>
      <c r="G44" s="9">
        <f t="shared" si="0"/>
        <v>7.0329999999999995</v>
      </c>
      <c r="H44" s="9">
        <f t="shared" si="1"/>
        <v>-1.998444027149322</v>
      </c>
      <c r="I44" s="9">
        <f t="shared" si="2"/>
        <v>0</v>
      </c>
    </row>
    <row r="45" spans="1:9" x14ac:dyDescent="0.25">
      <c r="A45" s="6">
        <v>12</v>
      </c>
      <c r="B45" s="7">
        <v>24</v>
      </c>
      <c r="C45" s="7">
        <v>1</v>
      </c>
      <c r="D45" s="7">
        <v>0</v>
      </c>
      <c r="E45" s="8">
        <v>1</v>
      </c>
      <c r="F45" s="9">
        <v>0</v>
      </c>
      <c r="G45" s="9">
        <f t="shared" si="0"/>
        <v>6.9030000000000005</v>
      </c>
      <c r="H45" s="9">
        <f t="shared" si="1"/>
        <v>-2.128444027149321</v>
      </c>
      <c r="I45" s="9">
        <f t="shared" si="2"/>
        <v>0</v>
      </c>
    </row>
    <row r="46" spans="1:9" x14ac:dyDescent="0.25">
      <c r="A46" s="6">
        <v>16</v>
      </c>
      <c r="B46" s="7">
        <v>24</v>
      </c>
      <c r="C46" s="7">
        <v>2</v>
      </c>
      <c r="D46" s="7">
        <v>3</v>
      </c>
      <c r="E46" s="8">
        <v>0</v>
      </c>
      <c r="F46" s="9">
        <v>1</v>
      </c>
      <c r="G46" s="9">
        <f t="shared" si="0"/>
        <v>8.8780000000000001</v>
      </c>
      <c r="H46" s="9">
        <f t="shared" si="1"/>
        <v>-0.15344402714932137</v>
      </c>
      <c r="I46" s="9">
        <f t="shared" si="2"/>
        <v>0</v>
      </c>
    </row>
    <row r="47" spans="1:9" x14ac:dyDescent="0.25">
      <c r="A47" s="6">
        <v>16</v>
      </c>
      <c r="B47" s="7">
        <v>24</v>
      </c>
      <c r="C47" s="7">
        <v>2</v>
      </c>
      <c r="D47" s="7">
        <v>0</v>
      </c>
      <c r="E47" s="8">
        <v>0</v>
      </c>
      <c r="F47" s="9">
        <v>1</v>
      </c>
      <c r="G47" s="9">
        <f t="shared" si="0"/>
        <v>8.8780000000000001</v>
      </c>
      <c r="H47" s="9">
        <f t="shared" si="1"/>
        <v>-0.15344402714932137</v>
      </c>
      <c r="I47" s="9">
        <f t="shared" si="2"/>
        <v>0</v>
      </c>
    </row>
    <row r="48" spans="1:9" x14ac:dyDescent="0.25">
      <c r="A48" s="6">
        <v>12</v>
      </c>
      <c r="B48" s="7">
        <v>24</v>
      </c>
      <c r="C48" s="7">
        <v>3</v>
      </c>
      <c r="D48" s="7">
        <v>0</v>
      </c>
      <c r="E48" s="8">
        <v>0</v>
      </c>
      <c r="F48" s="9">
        <v>0</v>
      </c>
      <c r="G48" s="9">
        <f t="shared" si="0"/>
        <v>7.5810000000000004</v>
      </c>
      <c r="H48" s="9">
        <f t="shared" si="1"/>
        <v>-1.4504440271493211</v>
      </c>
      <c r="I48" s="9">
        <f t="shared" si="2"/>
        <v>0</v>
      </c>
    </row>
    <row r="49" spans="1:9" x14ac:dyDescent="0.25">
      <c r="A49" s="6">
        <v>15</v>
      </c>
      <c r="B49" s="7">
        <v>24</v>
      </c>
      <c r="C49" s="7">
        <v>3</v>
      </c>
      <c r="D49" s="7">
        <v>1</v>
      </c>
      <c r="E49" s="8">
        <v>0</v>
      </c>
      <c r="F49" s="9">
        <v>1</v>
      </c>
      <c r="G49" s="9">
        <f t="shared" si="0"/>
        <v>8.8079999999999998</v>
      </c>
      <c r="H49" s="9">
        <f t="shared" si="1"/>
        <v>-0.22344402714932166</v>
      </c>
      <c r="I49" s="9">
        <f t="shared" si="2"/>
        <v>0</v>
      </c>
    </row>
    <row r="50" spans="1:9" x14ac:dyDescent="0.25">
      <c r="A50" s="6">
        <v>10</v>
      </c>
      <c r="B50" s="7">
        <v>24</v>
      </c>
      <c r="C50" s="7">
        <v>4</v>
      </c>
      <c r="D50" s="7">
        <v>0</v>
      </c>
      <c r="E50" s="8">
        <v>1</v>
      </c>
      <c r="F50" s="9">
        <v>1</v>
      </c>
      <c r="G50" s="9">
        <f t="shared" si="0"/>
        <v>7.1020000000000003</v>
      </c>
      <c r="H50" s="9">
        <f t="shared" si="1"/>
        <v>-1.9294440271493212</v>
      </c>
      <c r="I50" s="9">
        <f t="shared" si="2"/>
        <v>0</v>
      </c>
    </row>
    <row r="51" spans="1:9" x14ac:dyDescent="0.25">
      <c r="A51" s="6">
        <v>12</v>
      </c>
      <c r="B51" s="7">
        <v>24</v>
      </c>
      <c r="C51" s="7">
        <v>4</v>
      </c>
      <c r="D51" s="7">
        <v>0</v>
      </c>
      <c r="E51" s="8">
        <v>0</v>
      </c>
      <c r="F51" s="9">
        <v>1</v>
      </c>
      <c r="G51" s="9">
        <f t="shared" si="0"/>
        <v>7.92</v>
      </c>
      <c r="H51" s="9">
        <f t="shared" si="1"/>
        <v>-1.1114440271493216</v>
      </c>
      <c r="I51" s="9">
        <f t="shared" si="2"/>
        <v>0</v>
      </c>
    </row>
    <row r="52" spans="1:9" x14ac:dyDescent="0.25">
      <c r="A52" s="6">
        <v>12</v>
      </c>
      <c r="B52" s="7">
        <v>24</v>
      </c>
      <c r="C52" s="7">
        <v>4</v>
      </c>
      <c r="D52" s="7">
        <v>0</v>
      </c>
      <c r="E52" s="8">
        <v>0</v>
      </c>
      <c r="F52" s="9">
        <v>1</v>
      </c>
      <c r="G52" s="9">
        <f t="shared" si="0"/>
        <v>7.92</v>
      </c>
      <c r="H52" s="9">
        <f t="shared" si="1"/>
        <v>-1.1114440271493216</v>
      </c>
      <c r="I52" s="9">
        <f t="shared" si="2"/>
        <v>0</v>
      </c>
    </row>
    <row r="53" spans="1:9" x14ac:dyDescent="0.25">
      <c r="A53" s="6">
        <v>13</v>
      </c>
      <c r="B53" s="7">
        <v>24</v>
      </c>
      <c r="C53" s="7">
        <v>4</v>
      </c>
      <c r="D53" s="7">
        <v>3</v>
      </c>
      <c r="E53" s="8">
        <v>2</v>
      </c>
      <c r="F53" s="9">
        <v>1</v>
      </c>
      <c r="G53" s="9">
        <f t="shared" si="0"/>
        <v>8.3289999999999988</v>
      </c>
      <c r="H53" s="9">
        <f t="shared" si="1"/>
        <v>-0.70244402714932264</v>
      </c>
      <c r="I53" s="9">
        <f t="shared" si="2"/>
        <v>0</v>
      </c>
    </row>
    <row r="54" spans="1:9" x14ac:dyDescent="0.25">
      <c r="A54" s="6">
        <v>15</v>
      </c>
      <c r="B54" s="7">
        <v>25</v>
      </c>
      <c r="C54" s="7">
        <v>0</v>
      </c>
      <c r="D54" s="7">
        <v>0</v>
      </c>
      <c r="E54" s="8">
        <v>0</v>
      </c>
      <c r="F54" s="9">
        <v>1</v>
      </c>
      <c r="G54" s="9">
        <f t="shared" si="0"/>
        <v>7.8599999999999994</v>
      </c>
      <c r="H54" s="9">
        <f t="shared" si="1"/>
        <v>-1.1714440271493221</v>
      </c>
      <c r="I54" s="9">
        <f t="shared" si="2"/>
        <v>0</v>
      </c>
    </row>
    <row r="55" spans="1:9" x14ac:dyDescent="0.25">
      <c r="A55" s="6">
        <v>15</v>
      </c>
      <c r="B55" s="7">
        <v>25</v>
      </c>
      <c r="C55" s="7">
        <v>1</v>
      </c>
      <c r="D55" s="7">
        <v>2</v>
      </c>
      <c r="E55" s="8">
        <v>0</v>
      </c>
      <c r="F55" s="9">
        <v>1</v>
      </c>
      <c r="G55" s="9">
        <f t="shared" si="0"/>
        <v>8.1989999999999998</v>
      </c>
      <c r="H55" s="9">
        <f t="shared" si="1"/>
        <v>-0.83244402714932164</v>
      </c>
      <c r="I55" s="9">
        <f t="shared" si="2"/>
        <v>0</v>
      </c>
    </row>
    <row r="56" spans="1:9" x14ac:dyDescent="0.25">
      <c r="A56" s="6">
        <v>16</v>
      </c>
      <c r="B56" s="7">
        <v>25</v>
      </c>
      <c r="C56" s="7">
        <v>1</v>
      </c>
      <c r="D56" s="7">
        <v>0</v>
      </c>
      <c r="E56" s="8">
        <v>0</v>
      </c>
      <c r="F56" s="9">
        <v>1</v>
      </c>
      <c r="G56" s="9">
        <f t="shared" si="0"/>
        <v>8.6080000000000005</v>
      </c>
      <c r="H56" s="9">
        <f t="shared" si="1"/>
        <v>-0.42344402714932095</v>
      </c>
      <c r="I56" s="9">
        <f t="shared" si="2"/>
        <v>0</v>
      </c>
    </row>
    <row r="57" spans="1:9" x14ac:dyDescent="0.25">
      <c r="A57" s="6">
        <v>15</v>
      </c>
      <c r="B57" s="7">
        <v>25</v>
      </c>
      <c r="C57" s="7">
        <v>1</v>
      </c>
      <c r="D57" s="7">
        <v>1</v>
      </c>
      <c r="E57" s="8">
        <v>0</v>
      </c>
      <c r="F57" s="9">
        <v>1</v>
      </c>
      <c r="G57" s="9">
        <f t="shared" si="0"/>
        <v>8.1989999999999998</v>
      </c>
      <c r="H57" s="9">
        <f t="shared" si="1"/>
        <v>-0.83244402714932164</v>
      </c>
      <c r="I57" s="9">
        <f t="shared" si="2"/>
        <v>0</v>
      </c>
    </row>
    <row r="58" spans="1:9" x14ac:dyDescent="0.25">
      <c r="A58" s="6">
        <v>16</v>
      </c>
      <c r="B58" s="7">
        <v>25</v>
      </c>
      <c r="C58" s="7">
        <v>2</v>
      </c>
      <c r="D58" s="7">
        <v>5</v>
      </c>
      <c r="E58" s="8">
        <v>0</v>
      </c>
      <c r="F58" s="9">
        <v>1</v>
      </c>
      <c r="G58" s="9">
        <f t="shared" si="0"/>
        <v>8.947000000000001</v>
      </c>
      <c r="H58" s="9">
        <f t="shared" si="1"/>
        <v>-8.4444027149320533E-2</v>
      </c>
      <c r="I58" s="9">
        <f t="shared" si="2"/>
        <v>0</v>
      </c>
    </row>
    <row r="59" spans="1:9" x14ac:dyDescent="0.25">
      <c r="A59" s="6">
        <v>16</v>
      </c>
      <c r="B59" s="7">
        <v>25</v>
      </c>
      <c r="C59" s="7">
        <v>2</v>
      </c>
      <c r="D59" s="7">
        <v>2</v>
      </c>
      <c r="E59" s="8">
        <v>1</v>
      </c>
      <c r="F59" s="9">
        <v>1</v>
      </c>
      <c r="G59" s="9">
        <f t="shared" si="0"/>
        <v>8.947000000000001</v>
      </c>
      <c r="H59" s="9">
        <f t="shared" si="1"/>
        <v>-8.4444027149320533E-2</v>
      </c>
      <c r="I59" s="9">
        <f t="shared" si="2"/>
        <v>0</v>
      </c>
    </row>
    <row r="60" spans="1:9" x14ac:dyDescent="0.25">
      <c r="A60" s="6">
        <v>12</v>
      </c>
      <c r="B60" s="7">
        <v>25</v>
      </c>
      <c r="C60" s="7">
        <v>3</v>
      </c>
      <c r="D60" s="7">
        <v>0</v>
      </c>
      <c r="E60" s="8">
        <v>1</v>
      </c>
      <c r="F60" s="9">
        <v>0</v>
      </c>
      <c r="G60" s="9">
        <f t="shared" si="0"/>
        <v>7.6499999999999995</v>
      </c>
      <c r="H60" s="9">
        <f t="shared" si="1"/>
        <v>-1.381444027149322</v>
      </c>
      <c r="I60" s="9">
        <f t="shared" si="2"/>
        <v>0</v>
      </c>
    </row>
    <row r="61" spans="1:9" x14ac:dyDescent="0.25">
      <c r="A61" s="6">
        <v>10</v>
      </c>
      <c r="B61" s="7">
        <v>25</v>
      </c>
      <c r="C61" s="7">
        <v>3</v>
      </c>
      <c r="D61" s="7">
        <v>0</v>
      </c>
      <c r="E61" s="8">
        <v>0</v>
      </c>
      <c r="F61" s="9">
        <v>0</v>
      </c>
      <c r="G61" s="9">
        <f t="shared" si="0"/>
        <v>6.8319999999999999</v>
      </c>
      <c r="H61" s="9">
        <f t="shared" si="1"/>
        <v>-2.1994440271493216</v>
      </c>
      <c r="I61" s="9">
        <f t="shared" si="2"/>
        <v>0</v>
      </c>
    </row>
    <row r="62" spans="1:9" x14ac:dyDescent="0.25">
      <c r="A62" s="6">
        <v>16</v>
      </c>
      <c r="B62" s="7">
        <v>25</v>
      </c>
      <c r="C62" s="7">
        <v>3</v>
      </c>
      <c r="D62" s="7">
        <v>3</v>
      </c>
      <c r="E62" s="8">
        <v>0</v>
      </c>
      <c r="F62" s="9">
        <v>1</v>
      </c>
      <c r="G62" s="9">
        <f t="shared" si="0"/>
        <v>9.2859999999999996</v>
      </c>
      <c r="H62" s="9">
        <f t="shared" si="1"/>
        <v>0.2545559728506781</v>
      </c>
      <c r="I62" s="9">
        <f t="shared" si="2"/>
        <v>1</v>
      </c>
    </row>
    <row r="63" spans="1:9" x14ac:dyDescent="0.25">
      <c r="A63" s="6">
        <v>12</v>
      </c>
      <c r="B63" s="7">
        <v>25</v>
      </c>
      <c r="C63" s="7">
        <v>4</v>
      </c>
      <c r="D63" s="7">
        <v>0</v>
      </c>
      <c r="E63" s="8">
        <v>1</v>
      </c>
      <c r="F63" s="9">
        <v>1</v>
      </c>
      <c r="G63" s="9">
        <f t="shared" si="0"/>
        <v>7.988999999999999</v>
      </c>
      <c r="H63" s="9">
        <f t="shared" si="1"/>
        <v>-1.0424440271493225</v>
      </c>
      <c r="I63" s="9">
        <f t="shared" si="2"/>
        <v>0</v>
      </c>
    </row>
    <row r="64" spans="1:9" x14ac:dyDescent="0.25">
      <c r="A64" s="6">
        <v>12</v>
      </c>
      <c r="B64" s="7">
        <v>25</v>
      </c>
      <c r="C64" s="7">
        <v>5</v>
      </c>
      <c r="D64" s="7">
        <v>0</v>
      </c>
      <c r="E64" s="8">
        <v>0</v>
      </c>
      <c r="F64" s="9">
        <v>1</v>
      </c>
      <c r="G64" s="9">
        <f t="shared" si="0"/>
        <v>8.3279999999999994</v>
      </c>
      <c r="H64" s="9">
        <f t="shared" si="1"/>
        <v>-0.70344402714932208</v>
      </c>
      <c r="I64" s="9">
        <f t="shared" si="2"/>
        <v>0</v>
      </c>
    </row>
    <row r="65" spans="1:9" x14ac:dyDescent="0.25">
      <c r="A65" s="6">
        <v>15</v>
      </c>
      <c r="B65" s="7">
        <v>26</v>
      </c>
      <c r="C65" s="7">
        <v>0</v>
      </c>
      <c r="D65" s="7">
        <v>7</v>
      </c>
      <c r="E65" s="8">
        <v>2</v>
      </c>
      <c r="F65" s="9">
        <v>1</v>
      </c>
      <c r="G65" s="9">
        <f t="shared" si="0"/>
        <v>7.9290000000000003</v>
      </c>
      <c r="H65" s="9">
        <f t="shared" si="1"/>
        <v>-1.1024440271493212</v>
      </c>
      <c r="I65" s="9">
        <f t="shared" si="2"/>
        <v>0</v>
      </c>
    </row>
    <row r="66" spans="1:9" x14ac:dyDescent="0.25">
      <c r="A66" s="6">
        <v>15</v>
      </c>
      <c r="B66" s="7">
        <v>26</v>
      </c>
      <c r="C66" s="7">
        <v>1</v>
      </c>
      <c r="D66" s="7">
        <v>2</v>
      </c>
      <c r="E66" s="8">
        <v>0</v>
      </c>
      <c r="F66" s="9">
        <v>1</v>
      </c>
      <c r="G66" s="9">
        <f t="shared" ref="G66:G129" si="3">A66*$L$3+B66*$L$4+C66*$L$5</f>
        <v>8.2680000000000007</v>
      </c>
      <c r="H66" s="9">
        <f t="shared" si="1"/>
        <v>-0.7634440271493208</v>
      </c>
      <c r="I66" s="9">
        <f t="shared" si="2"/>
        <v>0</v>
      </c>
    </row>
    <row r="67" spans="1:9" x14ac:dyDescent="0.25">
      <c r="A67" s="6">
        <v>15</v>
      </c>
      <c r="B67" s="7">
        <v>26</v>
      </c>
      <c r="C67" s="7">
        <v>1</v>
      </c>
      <c r="D67" s="7">
        <v>2</v>
      </c>
      <c r="E67" s="8">
        <v>0</v>
      </c>
      <c r="F67" s="9">
        <v>1</v>
      </c>
      <c r="G67" s="9">
        <f t="shared" si="3"/>
        <v>8.2680000000000007</v>
      </c>
      <c r="H67" s="9">
        <f t="shared" ref="H67:H130" si="4">G67-$L$11</f>
        <v>-0.7634440271493208</v>
      </c>
      <c r="I67" s="9">
        <f t="shared" ref="I67:I130" si="5">IF(H67&lt;0,0,1)</f>
        <v>0</v>
      </c>
    </row>
    <row r="68" spans="1:9" x14ac:dyDescent="0.25">
      <c r="A68" s="6">
        <v>15</v>
      </c>
      <c r="B68" s="7">
        <v>26</v>
      </c>
      <c r="C68" s="7">
        <v>1</v>
      </c>
      <c r="D68" s="7">
        <v>7</v>
      </c>
      <c r="E68" s="8">
        <v>0</v>
      </c>
      <c r="F68" s="9">
        <v>1</v>
      </c>
      <c r="G68" s="9">
        <f t="shared" si="3"/>
        <v>8.2680000000000007</v>
      </c>
      <c r="H68" s="9">
        <f t="shared" si="4"/>
        <v>-0.7634440271493208</v>
      </c>
      <c r="I68" s="9">
        <f t="shared" si="5"/>
        <v>0</v>
      </c>
    </row>
    <row r="69" spans="1:9" x14ac:dyDescent="0.25">
      <c r="A69" s="6">
        <v>12</v>
      </c>
      <c r="B69" s="7">
        <v>26</v>
      </c>
      <c r="C69" s="7">
        <v>2</v>
      </c>
      <c r="D69" s="7">
        <v>2</v>
      </c>
      <c r="E69" s="8">
        <v>2</v>
      </c>
      <c r="F69" s="9">
        <v>0</v>
      </c>
      <c r="G69" s="9">
        <f t="shared" si="3"/>
        <v>7.38</v>
      </c>
      <c r="H69" s="9">
        <f t="shared" si="4"/>
        <v>-1.6514440271493216</v>
      </c>
      <c r="I69" s="9">
        <f t="shared" si="5"/>
        <v>0</v>
      </c>
    </row>
    <row r="70" spans="1:9" x14ac:dyDescent="0.25">
      <c r="A70" s="6">
        <v>13</v>
      </c>
      <c r="B70" s="7">
        <v>26</v>
      </c>
      <c r="C70" s="7">
        <v>2</v>
      </c>
      <c r="D70" s="7">
        <v>2</v>
      </c>
      <c r="E70" s="8">
        <v>0</v>
      </c>
      <c r="F70" s="9">
        <v>0</v>
      </c>
      <c r="G70" s="9">
        <f t="shared" si="3"/>
        <v>7.7889999999999988</v>
      </c>
      <c r="H70" s="9">
        <f t="shared" si="4"/>
        <v>-1.2424440271493227</v>
      </c>
      <c r="I70" s="9">
        <f t="shared" si="5"/>
        <v>0</v>
      </c>
    </row>
    <row r="71" spans="1:9" x14ac:dyDescent="0.25">
      <c r="A71" s="6">
        <v>12</v>
      </c>
      <c r="B71" s="7">
        <v>26</v>
      </c>
      <c r="C71" s="7">
        <v>2</v>
      </c>
      <c r="D71" s="7">
        <v>0</v>
      </c>
      <c r="E71" s="8">
        <v>2</v>
      </c>
      <c r="F71" s="9">
        <v>0</v>
      </c>
      <c r="G71" s="9">
        <f t="shared" si="3"/>
        <v>7.38</v>
      </c>
      <c r="H71" s="9">
        <f t="shared" si="4"/>
        <v>-1.6514440271493216</v>
      </c>
      <c r="I71" s="9">
        <f t="shared" si="5"/>
        <v>0</v>
      </c>
    </row>
    <row r="72" spans="1:9" x14ac:dyDescent="0.25">
      <c r="A72" s="6">
        <v>15</v>
      </c>
      <c r="B72" s="7">
        <v>26</v>
      </c>
      <c r="C72" s="7">
        <v>2</v>
      </c>
      <c r="D72" s="7">
        <v>0</v>
      </c>
      <c r="E72" s="8">
        <v>1</v>
      </c>
      <c r="F72" s="9">
        <v>1</v>
      </c>
      <c r="G72" s="9">
        <f t="shared" si="3"/>
        <v>8.6070000000000011</v>
      </c>
      <c r="H72" s="9">
        <f t="shared" si="4"/>
        <v>-0.42444402714932039</v>
      </c>
      <c r="I72" s="9">
        <f t="shared" si="5"/>
        <v>0</v>
      </c>
    </row>
    <row r="73" spans="1:9" x14ac:dyDescent="0.25">
      <c r="A73" s="6">
        <v>10</v>
      </c>
      <c r="B73" s="7">
        <v>26</v>
      </c>
      <c r="C73" s="7">
        <v>3</v>
      </c>
      <c r="D73" s="7">
        <v>0</v>
      </c>
      <c r="E73" s="8">
        <v>3</v>
      </c>
      <c r="F73" s="9">
        <v>0</v>
      </c>
      <c r="G73" s="9">
        <f t="shared" si="3"/>
        <v>6.9010000000000007</v>
      </c>
      <c r="H73" s="9">
        <f t="shared" si="4"/>
        <v>-2.1304440271493208</v>
      </c>
      <c r="I73" s="9">
        <f t="shared" si="5"/>
        <v>0</v>
      </c>
    </row>
    <row r="74" spans="1:9" x14ac:dyDescent="0.25">
      <c r="A74" s="6">
        <v>15</v>
      </c>
      <c r="B74" s="7">
        <v>26</v>
      </c>
      <c r="C74" s="7">
        <v>3</v>
      </c>
      <c r="D74" s="7">
        <v>1</v>
      </c>
      <c r="E74" s="8">
        <v>0</v>
      </c>
      <c r="F74" s="9">
        <v>1</v>
      </c>
      <c r="G74" s="9">
        <f t="shared" si="3"/>
        <v>8.9459999999999997</v>
      </c>
      <c r="H74" s="9">
        <f t="shared" si="4"/>
        <v>-8.5444027149321755E-2</v>
      </c>
      <c r="I74" s="9">
        <f t="shared" si="5"/>
        <v>0</v>
      </c>
    </row>
    <row r="75" spans="1:9" x14ac:dyDescent="0.25">
      <c r="A75" s="6">
        <v>12</v>
      </c>
      <c r="B75" s="7">
        <v>26</v>
      </c>
      <c r="C75" s="7">
        <v>3</v>
      </c>
      <c r="D75" s="7">
        <v>4</v>
      </c>
      <c r="E75" s="8">
        <v>0</v>
      </c>
      <c r="F75" s="9">
        <v>0</v>
      </c>
      <c r="G75" s="9">
        <f t="shared" si="3"/>
        <v>7.7190000000000003</v>
      </c>
      <c r="H75" s="9">
        <f t="shared" si="4"/>
        <v>-1.3124440271493212</v>
      </c>
      <c r="I75" s="9">
        <f t="shared" si="5"/>
        <v>0</v>
      </c>
    </row>
    <row r="76" spans="1:9" x14ac:dyDescent="0.25">
      <c r="A76" s="6">
        <v>15</v>
      </c>
      <c r="B76" s="7">
        <v>26</v>
      </c>
      <c r="C76" s="7">
        <v>3</v>
      </c>
      <c r="D76" s="7">
        <v>0</v>
      </c>
      <c r="E76" s="8">
        <v>2</v>
      </c>
      <c r="F76" s="9">
        <v>1</v>
      </c>
      <c r="G76" s="9">
        <f t="shared" si="3"/>
        <v>8.9459999999999997</v>
      </c>
      <c r="H76" s="9">
        <f t="shared" si="4"/>
        <v>-8.5444027149321755E-2</v>
      </c>
      <c r="I76" s="9">
        <f t="shared" si="5"/>
        <v>0</v>
      </c>
    </row>
    <row r="77" spans="1:9" x14ac:dyDescent="0.25">
      <c r="A77" s="6">
        <v>11</v>
      </c>
      <c r="B77" s="7">
        <v>27</v>
      </c>
      <c r="C77" s="7">
        <v>1</v>
      </c>
      <c r="D77" s="7">
        <v>2</v>
      </c>
      <c r="E77" s="8">
        <v>2</v>
      </c>
      <c r="F77" s="9">
        <v>0</v>
      </c>
      <c r="G77" s="9">
        <f t="shared" si="3"/>
        <v>6.7010000000000005</v>
      </c>
      <c r="H77" s="9">
        <f t="shared" si="4"/>
        <v>-2.330444027149321</v>
      </c>
      <c r="I77" s="9">
        <f t="shared" si="5"/>
        <v>0</v>
      </c>
    </row>
    <row r="78" spans="1:9" x14ac:dyDescent="0.25">
      <c r="A78" s="6">
        <v>12</v>
      </c>
      <c r="B78" s="7">
        <v>27</v>
      </c>
      <c r="C78" s="7">
        <v>1</v>
      </c>
      <c r="D78" s="7">
        <v>5</v>
      </c>
      <c r="E78" s="8">
        <v>0</v>
      </c>
      <c r="F78" s="9">
        <v>0</v>
      </c>
      <c r="G78" s="9">
        <f t="shared" si="3"/>
        <v>7.11</v>
      </c>
      <c r="H78" s="9">
        <f t="shared" si="4"/>
        <v>-1.9214440271493212</v>
      </c>
      <c r="I78" s="9">
        <f t="shared" si="5"/>
        <v>0</v>
      </c>
    </row>
    <row r="79" spans="1:9" x14ac:dyDescent="0.25">
      <c r="A79" s="6">
        <v>15</v>
      </c>
      <c r="B79" s="7">
        <v>27</v>
      </c>
      <c r="C79" s="7">
        <v>2</v>
      </c>
      <c r="D79" s="7">
        <v>1</v>
      </c>
      <c r="E79" s="8">
        <v>0</v>
      </c>
      <c r="F79" s="9">
        <v>1</v>
      </c>
      <c r="G79" s="9">
        <f t="shared" si="3"/>
        <v>8.6760000000000002</v>
      </c>
      <c r="H79" s="9">
        <f t="shared" si="4"/>
        <v>-0.35544402714932133</v>
      </c>
      <c r="I79" s="9">
        <f t="shared" si="5"/>
        <v>0</v>
      </c>
    </row>
    <row r="80" spans="1:9" x14ac:dyDescent="0.25">
      <c r="A80" s="6">
        <v>15</v>
      </c>
      <c r="B80" s="7">
        <v>27</v>
      </c>
      <c r="C80" s="7">
        <v>2</v>
      </c>
      <c r="D80" s="7">
        <v>2</v>
      </c>
      <c r="E80" s="8">
        <v>2</v>
      </c>
      <c r="F80" s="9">
        <v>1</v>
      </c>
      <c r="G80" s="9">
        <f t="shared" si="3"/>
        <v>8.6760000000000002</v>
      </c>
      <c r="H80" s="9">
        <f t="shared" si="4"/>
        <v>-0.35544402714932133</v>
      </c>
      <c r="I80" s="9">
        <f t="shared" si="5"/>
        <v>0</v>
      </c>
    </row>
    <row r="81" spans="1:9" x14ac:dyDescent="0.25">
      <c r="A81" s="6">
        <v>12</v>
      </c>
      <c r="B81" s="7">
        <v>27</v>
      </c>
      <c r="C81" s="7">
        <v>3</v>
      </c>
      <c r="D81" s="7">
        <v>0</v>
      </c>
      <c r="E81" s="8">
        <v>1</v>
      </c>
      <c r="F81" s="9">
        <v>0</v>
      </c>
      <c r="G81" s="9">
        <f t="shared" si="3"/>
        <v>7.7880000000000003</v>
      </c>
      <c r="H81" s="9">
        <f t="shared" si="4"/>
        <v>-1.2434440271493212</v>
      </c>
      <c r="I81" s="9">
        <f t="shared" si="5"/>
        <v>0</v>
      </c>
    </row>
    <row r="82" spans="1:9" x14ac:dyDescent="0.25">
      <c r="A82" s="6">
        <v>16</v>
      </c>
      <c r="B82" s="7">
        <v>27</v>
      </c>
      <c r="C82" s="7">
        <v>3</v>
      </c>
      <c r="D82" s="7">
        <v>2</v>
      </c>
      <c r="E82" s="8">
        <v>0</v>
      </c>
      <c r="F82" s="9">
        <v>1</v>
      </c>
      <c r="G82" s="9">
        <f t="shared" si="3"/>
        <v>9.4239999999999995</v>
      </c>
      <c r="H82" s="9">
        <f t="shared" si="4"/>
        <v>0.392555972850678</v>
      </c>
      <c r="I82" s="9">
        <f t="shared" si="5"/>
        <v>1</v>
      </c>
    </row>
    <row r="83" spans="1:9" x14ac:dyDescent="0.25">
      <c r="A83" s="6">
        <v>12</v>
      </c>
      <c r="B83" s="7">
        <v>28</v>
      </c>
      <c r="C83" s="7">
        <v>1</v>
      </c>
      <c r="D83" s="7">
        <v>0</v>
      </c>
      <c r="E83" s="8">
        <v>0</v>
      </c>
      <c r="F83" s="9">
        <v>0</v>
      </c>
      <c r="G83" s="9">
        <f t="shared" si="3"/>
        <v>7.1790000000000003</v>
      </c>
      <c r="H83" s="9">
        <f t="shared" si="4"/>
        <v>-1.8524440271493212</v>
      </c>
      <c r="I83" s="9">
        <f t="shared" si="5"/>
        <v>0</v>
      </c>
    </row>
    <row r="84" spans="1:9" x14ac:dyDescent="0.25">
      <c r="A84" s="6">
        <v>16</v>
      </c>
      <c r="B84" s="7">
        <v>28</v>
      </c>
      <c r="C84" s="7">
        <v>1</v>
      </c>
      <c r="D84" s="7">
        <v>1</v>
      </c>
      <c r="E84" s="8">
        <v>0</v>
      </c>
      <c r="F84" s="9">
        <v>1</v>
      </c>
      <c r="G84" s="9">
        <f t="shared" si="3"/>
        <v>8.8149999999999995</v>
      </c>
      <c r="H84" s="9">
        <f t="shared" si="4"/>
        <v>-0.21644402714932198</v>
      </c>
      <c r="I84" s="9">
        <f t="shared" si="5"/>
        <v>0</v>
      </c>
    </row>
    <row r="85" spans="1:9" x14ac:dyDescent="0.25">
      <c r="A85" s="6">
        <v>15</v>
      </c>
      <c r="B85" s="7">
        <v>28</v>
      </c>
      <c r="C85" s="7">
        <v>1</v>
      </c>
      <c r="D85" s="7">
        <v>3</v>
      </c>
      <c r="E85" s="8">
        <v>0</v>
      </c>
      <c r="F85" s="9">
        <v>1</v>
      </c>
      <c r="G85" s="9">
        <f t="shared" si="3"/>
        <v>8.4060000000000006</v>
      </c>
      <c r="H85" s="9">
        <f t="shared" si="4"/>
        <v>-0.6254440271493209</v>
      </c>
      <c r="I85" s="9">
        <f t="shared" si="5"/>
        <v>0</v>
      </c>
    </row>
    <row r="86" spans="1:9" x14ac:dyDescent="0.25">
      <c r="A86" s="6">
        <v>12</v>
      </c>
      <c r="B86" s="7">
        <v>28</v>
      </c>
      <c r="C86" s="7">
        <v>2</v>
      </c>
      <c r="D86" s="7">
        <v>2</v>
      </c>
      <c r="E86" s="8">
        <v>2</v>
      </c>
      <c r="F86" s="9">
        <v>0</v>
      </c>
      <c r="G86" s="9">
        <f t="shared" si="3"/>
        <v>7.5179999999999998</v>
      </c>
      <c r="H86" s="9">
        <f t="shared" si="4"/>
        <v>-1.5134440271493217</v>
      </c>
      <c r="I86" s="9">
        <f t="shared" si="5"/>
        <v>0</v>
      </c>
    </row>
    <row r="87" spans="1:9" x14ac:dyDescent="0.25">
      <c r="A87" s="6">
        <v>12</v>
      </c>
      <c r="B87" s="7">
        <v>28</v>
      </c>
      <c r="C87" s="7">
        <v>2</v>
      </c>
      <c r="D87" s="7">
        <v>1</v>
      </c>
      <c r="E87" s="8">
        <v>0</v>
      </c>
      <c r="F87" s="9">
        <v>0</v>
      </c>
      <c r="G87" s="9">
        <f t="shared" si="3"/>
        <v>7.5179999999999998</v>
      </c>
      <c r="H87" s="9">
        <f t="shared" si="4"/>
        <v>-1.5134440271493217</v>
      </c>
      <c r="I87" s="9">
        <f t="shared" si="5"/>
        <v>0</v>
      </c>
    </row>
    <row r="88" spans="1:9" x14ac:dyDescent="0.25">
      <c r="A88" s="6">
        <v>15</v>
      </c>
      <c r="B88" s="7">
        <v>28</v>
      </c>
      <c r="C88" s="7">
        <v>2</v>
      </c>
      <c r="D88" s="7">
        <v>1</v>
      </c>
      <c r="E88" s="8">
        <v>0</v>
      </c>
      <c r="F88" s="9">
        <v>1</v>
      </c>
      <c r="G88" s="9">
        <f t="shared" si="3"/>
        <v>8.745000000000001</v>
      </c>
      <c r="H88" s="9">
        <f t="shared" si="4"/>
        <v>-0.28644402714932049</v>
      </c>
      <c r="I88" s="9">
        <f t="shared" si="5"/>
        <v>0</v>
      </c>
    </row>
    <row r="89" spans="1:9" x14ac:dyDescent="0.25">
      <c r="A89" s="6">
        <v>12</v>
      </c>
      <c r="B89" s="7">
        <v>28</v>
      </c>
      <c r="C89" s="7">
        <v>2</v>
      </c>
      <c r="D89" s="7">
        <v>3</v>
      </c>
      <c r="E89" s="8">
        <v>0</v>
      </c>
      <c r="F89" s="9">
        <v>0</v>
      </c>
      <c r="G89" s="9">
        <f t="shared" si="3"/>
        <v>7.5179999999999998</v>
      </c>
      <c r="H89" s="9">
        <f t="shared" si="4"/>
        <v>-1.5134440271493217</v>
      </c>
      <c r="I89" s="9">
        <f t="shared" si="5"/>
        <v>0</v>
      </c>
    </row>
    <row r="90" spans="1:9" x14ac:dyDescent="0.25">
      <c r="A90" s="6">
        <v>12</v>
      </c>
      <c r="B90" s="7">
        <v>28</v>
      </c>
      <c r="C90" s="7">
        <v>3</v>
      </c>
      <c r="D90" s="7">
        <v>0</v>
      </c>
      <c r="E90" s="8">
        <v>2</v>
      </c>
      <c r="F90" s="9">
        <v>0</v>
      </c>
      <c r="G90" s="9">
        <f t="shared" si="3"/>
        <v>7.8570000000000002</v>
      </c>
      <c r="H90" s="9">
        <f t="shared" si="4"/>
        <v>-1.1744440271493213</v>
      </c>
      <c r="I90" s="9">
        <f t="shared" si="5"/>
        <v>0</v>
      </c>
    </row>
    <row r="91" spans="1:9" x14ac:dyDescent="0.25">
      <c r="A91" s="6">
        <v>13</v>
      </c>
      <c r="B91" s="7">
        <v>28</v>
      </c>
      <c r="C91" s="7">
        <v>3</v>
      </c>
      <c r="D91" s="7">
        <v>2</v>
      </c>
      <c r="E91" s="8">
        <v>1</v>
      </c>
      <c r="F91" s="9">
        <v>0</v>
      </c>
      <c r="G91" s="9">
        <f t="shared" si="3"/>
        <v>8.266</v>
      </c>
      <c r="H91" s="9">
        <f t="shared" si="4"/>
        <v>-0.76544402714932147</v>
      </c>
      <c r="I91" s="9">
        <f t="shared" si="5"/>
        <v>0</v>
      </c>
    </row>
    <row r="92" spans="1:9" x14ac:dyDescent="0.25">
      <c r="A92" s="6">
        <v>15</v>
      </c>
      <c r="B92" s="7">
        <v>28</v>
      </c>
      <c r="C92" s="7">
        <v>3</v>
      </c>
      <c r="D92" s="7">
        <v>0</v>
      </c>
      <c r="E92" s="8">
        <v>2</v>
      </c>
      <c r="F92" s="9">
        <v>1</v>
      </c>
      <c r="G92" s="9">
        <f t="shared" si="3"/>
        <v>9.0839999999999996</v>
      </c>
      <c r="H92" s="9">
        <f t="shared" si="4"/>
        <v>5.2555972850678145E-2</v>
      </c>
      <c r="I92" s="9">
        <f t="shared" si="5"/>
        <v>1</v>
      </c>
    </row>
    <row r="93" spans="1:9" x14ac:dyDescent="0.25">
      <c r="A93" s="6">
        <v>16</v>
      </c>
      <c r="B93" s="7">
        <v>28</v>
      </c>
      <c r="C93" s="7">
        <v>3</v>
      </c>
      <c r="D93" s="7">
        <v>6</v>
      </c>
      <c r="E93" s="8">
        <v>0</v>
      </c>
      <c r="F93" s="9">
        <v>1</v>
      </c>
      <c r="G93" s="9">
        <f t="shared" si="3"/>
        <v>9.4929999999999986</v>
      </c>
      <c r="H93" s="9">
        <f t="shared" si="4"/>
        <v>0.46155597285067707</v>
      </c>
      <c r="I93" s="9">
        <f t="shared" si="5"/>
        <v>1</v>
      </c>
    </row>
    <row r="94" spans="1:9" x14ac:dyDescent="0.25">
      <c r="A94" s="6">
        <v>11</v>
      </c>
      <c r="B94" s="7">
        <v>28</v>
      </c>
      <c r="C94" s="7">
        <v>4</v>
      </c>
      <c r="D94" s="7">
        <v>0</v>
      </c>
      <c r="E94" s="8">
        <v>4</v>
      </c>
      <c r="F94" s="9">
        <v>0</v>
      </c>
      <c r="G94" s="9">
        <f t="shared" si="3"/>
        <v>7.7869999999999999</v>
      </c>
      <c r="H94" s="9">
        <f t="shared" si="4"/>
        <v>-1.2444440271493216</v>
      </c>
      <c r="I94" s="9">
        <f t="shared" si="5"/>
        <v>0</v>
      </c>
    </row>
    <row r="95" spans="1:9" x14ac:dyDescent="0.25">
      <c r="A95" s="6">
        <v>12</v>
      </c>
      <c r="B95" s="7">
        <v>28</v>
      </c>
      <c r="C95" s="7">
        <v>4</v>
      </c>
      <c r="D95" s="7">
        <v>0</v>
      </c>
      <c r="E95" s="8">
        <v>1</v>
      </c>
      <c r="F95" s="9">
        <v>1</v>
      </c>
      <c r="G95" s="9">
        <f t="shared" si="3"/>
        <v>8.1959999999999997</v>
      </c>
      <c r="H95" s="9">
        <f t="shared" si="4"/>
        <v>-0.83544402714932176</v>
      </c>
      <c r="I95" s="9">
        <f t="shared" si="5"/>
        <v>0</v>
      </c>
    </row>
    <row r="96" spans="1:9" x14ac:dyDescent="0.25">
      <c r="A96" s="6">
        <v>15</v>
      </c>
      <c r="B96" s="7">
        <v>28</v>
      </c>
      <c r="C96" s="7">
        <v>4</v>
      </c>
      <c r="D96" s="7">
        <v>3</v>
      </c>
      <c r="E96" s="8">
        <v>0</v>
      </c>
      <c r="F96" s="9">
        <v>1</v>
      </c>
      <c r="G96" s="9">
        <f t="shared" si="3"/>
        <v>9.423</v>
      </c>
      <c r="H96" s="9">
        <f t="shared" si="4"/>
        <v>0.39155597285067856</v>
      </c>
      <c r="I96" s="9">
        <f t="shared" si="5"/>
        <v>1</v>
      </c>
    </row>
    <row r="97" spans="1:9" x14ac:dyDescent="0.25">
      <c r="A97" s="6">
        <v>13</v>
      </c>
      <c r="B97" s="7">
        <v>29</v>
      </c>
      <c r="C97" s="7">
        <v>0</v>
      </c>
      <c r="D97" s="7">
        <v>1</v>
      </c>
      <c r="E97" s="8">
        <v>0</v>
      </c>
      <c r="F97" s="9">
        <v>0</v>
      </c>
      <c r="G97" s="9">
        <f t="shared" si="3"/>
        <v>7.3179999999999996</v>
      </c>
      <c r="H97" s="9">
        <f t="shared" si="4"/>
        <v>-1.7134440271493219</v>
      </c>
      <c r="I97" s="9">
        <f t="shared" si="5"/>
        <v>0</v>
      </c>
    </row>
    <row r="98" spans="1:9" x14ac:dyDescent="0.25">
      <c r="A98" s="6">
        <v>10</v>
      </c>
      <c r="B98" s="7">
        <v>29</v>
      </c>
      <c r="C98" s="7">
        <v>1</v>
      </c>
      <c r="D98" s="7">
        <v>0</v>
      </c>
      <c r="E98" s="8">
        <v>1</v>
      </c>
      <c r="F98" s="9">
        <v>0</v>
      </c>
      <c r="G98" s="9">
        <f t="shared" si="3"/>
        <v>6.4300000000000006</v>
      </c>
      <c r="H98" s="9">
        <f t="shared" si="4"/>
        <v>-2.6014440271493209</v>
      </c>
      <c r="I98" s="9">
        <f t="shared" si="5"/>
        <v>0</v>
      </c>
    </row>
    <row r="99" spans="1:9" x14ac:dyDescent="0.25">
      <c r="A99" s="6">
        <v>10</v>
      </c>
      <c r="B99" s="7">
        <v>29</v>
      </c>
      <c r="C99" s="7">
        <v>1</v>
      </c>
      <c r="D99" s="7">
        <v>0</v>
      </c>
      <c r="E99" s="8">
        <v>2</v>
      </c>
      <c r="F99" s="9">
        <v>0</v>
      </c>
      <c r="G99" s="9">
        <f t="shared" si="3"/>
        <v>6.4300000000000006</v>
      </c>
      <c r="H99" s="9">
        <f t="shared" si="4"/>
        <v>-2.6014440271493209</v>
      </c>
      <c r="I99" s="9">
        <f t="shared" si="5"/>
        <v>0</v>
      </c>
    </row>
    <row r="100" spans="1:9" x14ac:dyDescent="0.25">
      <c r="A100" s="6">
        <v>12</v>
      </c>
      <c r="B100" s="7">
        <v>29</v>
      </c>
      <c r="C100" s="7">
        <v>2</v>
      </c>
      <c r="D100" s="7">
        <v>2</v>
      </c>
      <c r="E100" s="8">
        <v>4</v>
      </c>
      <c r="F100" s="9">
        <v>0</v>
      </c>
      <c r="G100" s="9">
        <f t="shared" si="3"/>
        <v>7.5869999999999997</v>
      </c>
      <c r="H100" s="9">
        <f t="shared" si="4"/>
        <v>-1.4444440271493217</v>
      </c>
      <c r="I100" s="9">
        <f t="shared" si="5"/>
        <v>0</v>
      </c>
    </row>
    <row r="101" spans="1:9" x14ac:dyDescent="0.25">
      <c r="A101" s="6">
        <v>15</v>
      </c>
      <c r="B101" s="7">
        <v>29</v>
      </c>
      <c r="C101" s="7">
        <v>2</v>
      </c>
      <c r="D101" s="7">
        <v>3</v>
      </c>
      <c r="E101" s="8">
        <v>0</v>
      </c>
      <c r="F101" s="9">
        <v>0</v>
      </c>
      <c r="G101" s="9">
        <f t="shared" si="3"/>
        <v>8.8140000000000001</v>
      </c>
      <c r="H101" s="9">
        <f t="shared" si="4"/>
        <v>-0.21744402714932143</v>
      </c>
      <c r="I101" s="9">
        <f t="shared" si="5"/>
        <v>0</v>
      </c>
    </row>
    <row r="102" spans="1:9" x14ac:dyDescent="0.25">
      <c r="A102" s="6">
        <v>12</v>
      </c>
      <c r="B102" s="7">
        <v>29</v>
      </c>
      <c r="C102" s="7">
        <v>2</v>
      </c>
      <c r="D102" s="7">
        <v>1</v>
      </c>
      <c r="E102" s="8">
        <v>2</v>
      </c>
      <c r="F102" s="9">
        <v>1</v>
      </c>
      <c r="G102" s="9">
        <f t="shared" si="3"/>
        <v>7.5869999999999997</v>
      </c>
      <c r="H102" s="9">
        <f t="shared" si="4"/>
        <v>-1.4444440271493217</v>
      </c>
      <c r="I102" s="9">
        <f t="shared" si="5"/>
        <v>0</v>
      </c>
    </row>
    <row r="103" spans="1:9" x14ac:dyDescent="0.25">
      <c r="A103" s="6">
        <v>11</v>
      </c>
      <c r="B103" s="7">
        <v>29</v>
      </c>
      <c r="C103" s="7">
        <v>3</v>
      </c>
      <c r="D103" s="7">
        <v>2</v>
      </c>
      <c r="E103" s="8">
        <v>2</v>
      </c>
      <c r="F103" s="9">
        <v>0</v>
      </c>
      <c r="G103" s="9">
        <f t="shared" si="3"/>
        <v>7.5170000000000003</v>
      </c>
      <c r="H103" s="9">
        <f t="shared" si="4"/>
        <v>-1.5144440271493211</v>
      </c>
      <c r="I103" s="9">
        <f t="shared" si="5"/>
        <v>0</v>
      </c>
    </row>
    <row r="104" spans="1:9" x14ac:dyDescent="0.25">
      <c r="A104" s="6">
        <v>16</v>
      </c>
      <c r="B104" s="7">
        <v>29</v>
      </c>
      <c r="C104" s="7">
        <v>3</v>
      </c>
      <c r="D104" s="7">
        <v>2</v>
      </c>
      <c r="E104" s="8">
        <v>0</v>
      </c>
      <c r="F104" s="9">
        <v>1</v>
      </c>
      <c r="G104" s="9">
        <f t="shared" si="3"/>
        <v>9.5619999999999994</v>
      </c>
      <c r="H104" s="9">
        <f t="shared" si="4"/>
        <v>0.5305559728506779</v>
      </c>
      <c r="I104" s="9">
        <f t="shared" si="5"/>
        <v>1</v>
      </c>
    </row>
    <row r="105" spans="1:9" x14ac:dyDescent="0.25">
      <c r="A105" s="6">
        <v>16</v>
      </c>
      <c r="B105" s="7">
        <v>29</v>
      </c>
      <c r="C105" s="7">
        <v>3</v>
      </c>
      <c r="D105" s="7">
        <v>3</v>
      </c>
      <c r="E105" s="8">
        <v>1</v>
      </c>
      <c r="F105" s="9">
        <v>1</v>
      </c>
      <c r="G105" s="9">
        <f t="shared" si="3"/>
        <v>9.5619999999999994</v>
      </c>
      <c r="H105" s="9">
        <f t="shared" si="4"/>
        <v>0.5305559728506779</v>
      </c>
      <c r="I105" s="9">
        <f t="shared" si="5"/>
        <v>1</v>
      </c>
    </row>
    <row r="106" spans="1:9" x14ac:dyDescent="0.25">
      <c r="A106" s="6">
        <v>11</v>
      </c>
      <c r="B106" s="7">
        <v>29</v>
      </c>
      <c r="C106" s="7">
        <v>4</v>
      </c>
      <c r="D106" s="7">
        <v>0</v>
      </c>
      <c r="E106" s="8">
        <v>0</v>
      </c>
      <c r="F106" s="9">
        <v>1</v>
      </c>
      <c r="G106" s="9">
        <f t="shared" si="3"/>
        <v>7.8559999999999999</v>
      </c>
      <c r="H106" s="9">
        <f t="shared" si="4"/>
        <v>-1.1754440271493216</v>
      </c>
      <c r="I106" s="9">
        <f t="shared" si="5"/>
        <v>0</v>
      </c>
    </row>
    <row r="107" spans="1:9" x14ac:dyDescent="0.25">
      <c r="A107" s="6">
        <v>13</v>
      </c>
      <c r="B107" s="7">
        <v>29</v>
      </c>
      <c r="C107" s="7">
        <v>4</v>
      </c>
      <c r="D107" s="7">
        <v>1</v>
      </c>
      <c r="E107" s="8">
        <v>0</v>
      </c>
      <c r="F107" s="9">
        <v>1</v>
      </c>
      <c r="G107" s="9">
        <f t="shared" si="3"/>
        <v>8.6739999999999995</v>
      </c>
      <c r="H107" s="9">
        <f t="shared" si="4"/>
        <v>-0.357444027149322</v>
      </c>
      <c r="I107" s="9">
        <f t="shared" si="5"/>
        <v>0</v>
      </c>
    </row>
    <row r="108" spans="1:9" x14ac:dyDescent="0.25">
      <c r="A108" s="6">
        <v>16</v>
      </c>
      <c r="B108" s="7">
        <v>29</v>
      </c>
      <c r="C108" s="7">
        <v>4</v>
      </c>
      <c r="D108" s="7">
        <v>1</v>
      </c>
      <c r="E108" s="8">
        <v>4</v>
      </c>
      <c r="F108" s="9">
        <v>1</v>
      </c>
      <c r="G108" s="9">
        <f t="shared" si="3"/>
        <v>9.9009999999999998</v>
      </c>
      <c r="H108" s="9">
        <f t="shared" si="4"/>
        <v>0.86955597285067832</v>
      </c>
      <c r="I108" s="9">
        <f t="shared" si="5"/>
        <v>1</v>
      </c>
    </row>
    <row r="109" spans="1:9" x14ac:dyDescent="0.25">
      <c r="A109" s="6">
        <v>12</v>
      </c>
      <c r="B109" s="7">
        <v>30</v>
      </c>
      <c r="C109" s="7">
        <v>1</v>
      </c>
      <c r="D109" s="7">
        <v>0</v>
      </c>
      <c r="E109" s="8">
        <v>4</v>
      </c>
      <c r="F109" s="9">
        <v>0</v>
      </c>
      <c r="G109" s="9">
        <f t="shared" si="3"/>
        <v>7.3170000000000002</v>
      </c>
      <c r="H109" s="9">
        <f t="shared" si="4"/>
        <v>-1.7144440271493213</v>
      </c>
      <c r="I109" s="9">
        <f t="shared" si="5"/>
        <v>0</v>
      </c>
    </row>
    <row r="110" spans="1:9" x14ac:dyDescent="0.25">
      <c r="A110" s="6">
        <v>15</v>
      </c>
      <c r="B110" s="7">
        <v>30</v>
      </c>
      <c r="C110" s="7">
        <v>2</v>
      </c>
      <c r="D110" s="7">
        <v>0</v>
      </c>
      <c r="E110" s="8">
        <v>2</v>
      </c>
      <c r="F110" s="9">
        <v>0</v>
      </c>
      <c r="G110" s="9">
        <f t="shared" si="3"/>
        <v>8.8830000000000009</v>
      </c>
      <c r="H110" s="9">
        <f t="shared" si="4"/>
        <v>-0.14844402714932059</v>
      </c>
      <c r="I110" s="9">
        <f t="shared" si="5"/>
        <v>0</v>
      </c>
    </row>
    <row r="111" spans="1:9" x14ac:dyDescent="0.25">
      <c r="A111" s="6">
        <v>15</v>
      </c>
      <c r="B111" s="7">
        <v>30</v>
      </c>
      <c r="C111" s="7">
        <v>3</v>
      </c>
      <c r="D111" s="7">
        <v>4</v>
      </c>
      <c r="E111" s="8">
        <v>1</v>
      </c>
      <c r="F111" s="9">
        <v>1</v>
      </c>
      <c r="G111" s="9">
        <f t="shared" si="3"/>
        <v>9.2219999999999995</v>
      </c>
      <c r="H111" s="9">
        <f t="shared" si="4"/>
        <v>0.19055597285067805</v>
      </c>
      <c r="I111" s="9">
        <f t="shared" si="5"/>
        <v>1</v>
      </c>
    </row>
    <row r="112" spans="1:9" x14ac:dyDescent="0.25">
      <c r="A112" s="6">
        <v>12</v>
      </c>
      <c r="B112" s="7">
        <v>30</v>
      </c>
      <c r="C112" s="7">
        <v>3</v>
      </c>
      <c r="D112" s="7">
        <v>1</v>
      </c>
      <c r="E112" s="8">
        <v>0</v>
      </c>
      <c r="F112" s="9">
        <v>0</v>
      </c>
      <c r="G112" s="9">
        <f t="shared" si="3"/>
        <v>7.9950000000000001</v>
      </c>
      <c r="H112" s="9">
        <f t="shared" si="4"/>
        <v>-1.0364440271493214</v>
      </c>
      <c r="I112" s="9">
        <f t="shared" si="5"/>
        <v>0</v>
      </c>
    </row>
    <row r="113" spans="1:9" x14ac:dyDescent="0.25">
      <c r="A113" s="6">
        <v>16</v>
      </c>
      <c r="B113" s="7">
        <v>30</v>
      </c>
      <c r="C113" s="7">
        <v>4</v>
      </c>
      <c r="D113" s="7">
        <v>3</v>
      </c>
      <c r="E113" s="8">
        <v>1</v>
      </c>
      <c r="F113" s="9">
        <v>1</v>
      </c>
      <c r="G113" s="9">
        <f t="shared" si="3"/>
        <v>9.9700000000000006</v>
      </c>
      <c r="H113" s="9">
        <f t="shared" si="4"/>
        <v>0.93855597285067915</v>
      </c>
      <c r="I113" s="9">
        <f t="shared" si="5"/>
        <v>1</v>
      </c>
    </row>
    <row r="114" spans="1:9" x14ac:dyDescent="0.25">
      <c r="A114" s="6">
        <v>12</v>
      </c>
      <c r="B114" s="7">
        <v>30</v>
      </c>
      <c r="C114" s="7">
        <v>5</v>
      </c>
      <c r="D114" s="7">
        <v>0</v>
      </c>
      <c r="E114" s="8">
        <v>1</v>
      </c>
      <c r="F114" s="9">
        <v>1</v>
      </c>
      <c r="G114" s="9">
        <f t="shared" si="3"/>
        <v>8.673</v>
      </c>
      <c r="H114" s="9">
        <f t="shared" si="4"/>
        <v>-0.35844402714932144</v>
      </c>
      <c r="I114" s="9">
        <f t="shared" si="5"/>
        <v>0</v>
      </c>
    </row>
    <row r="115" spans="1:9" x14ac:dyDescent="0.25">
      <c r="A115" s="6">
        <v>15</v>
      </c>
      <c r="B115" s="7">
        <v>31</v>
      </c>
      <c r="C115" s="7">
        <v>1</v>
      </c>
      <c r="D115" s="7">
        <v>3</v>
      </c>
      <c r="E115" s="8">
        <v>1</v>
      </c>
      <c r="F115" s="9">
        <v>1</v>
      </c>
      <c r="G115" s="9">
        <f t="shared" si="3"/>
        <v>8.6130000000000013</v>
      </c>
      <c r="H115" s="9">
        <f t="shared" si="4"/>
        <v>-0.41844402714932016</v>
      </c>
      <c r="I115" s="9">
        <f t="shared" si="5"/>
        <v>0</v>
      </c>
    </row>
    <row r="116" spans="1:9" x14ac:dyDescent="0.25">
      <c r="A116" s="6">
        <v>12</v>
      </c>
      <c r="B116" s="7">
        <v>31</v>
      </c>
      <c r="C116" s="7">
        <v>2</v>
      </c>
      <c r="D116" s="7">
        <v>2</v>
      </c>
      <c r="E116" s="8">
        <v>0</v>
      </c>
      <c r="F116" s="9">
        <v>0</v>
      </c>
      <c r="G116" s="9">
        <f t="shared" si="3"/>
        <v>7.7249999999999996</v>
      </c>
      <c r="H116" s="9">
        <f t="shared" si="4"/>
        <v>-1.3064440271493218</v>
      </c>
      <c r="I116" s="9">
        <f t="shared" si="5"/>
        <v>0</v>
      </c>
    </row>
    <row r="117" spans="1:9" x14ac:dyDescent="0.25">
      <c r="A117" s="6">
        <v>15</v>
      </c>
      <c r="B117" s="7">
        <v>31</v>
      </c>
      <c r="C117" s="7">
        <v>2</v>
      </c>
      <c r="D117" s="7">
        <v>2</v>
      </c>
      <c r="E117" s="8">
        <v>0</v>
      </c>
      <c r="F117" s="9">
        <v>0</v>
      </c>
      <c r="G117" s="9">
        <f t="shared" si="3"/>
        <v>8.9520000000000017</v>
      </c>
      <c r="H117" s="9">
        <f t="shared" si="4"/>
        <v>-7.9444027149319751E-2</v>
      </c>
      <c r="I117" s="9">
        <f t="shared" si="5"/>
        <v>0</v>
      </c>
    </row>
    <row r="118" spans="1:9" x14ac:dyDescent="0.25">
      <c r="A118" s="6">
        <v>12</v>
      </c>
      <c r="B118" s="7">
        <v>31</v>
      </c>
      <c r="C118" s="7">
        <v>2</v>
      </c>
      <c r="D118" s="7">
        <v>2</v>
      </c>
      <c r="E118" s="8">
        <v>2</v>
      </c>
      <c r="F118" s="9">
        <v>0</v>
      </c>
      <c r="G118" s="9">
        <f t="shared" si="3"/>
        <v>7.7249999999999996</v>
      </c>
      <c r="H118" s="9">
        <f t="shared" si="4"/>
        <v>-1.3064440271493218</v>
      </c>
      <c r="I118" s="9">
        <f t="shared" si="5"/>
        <v>0</v>
      </c>
    </row>
    <row r="119" spans="1:9" x14ac:dyDescent="0.25">
      <c r="A119" s="6">
        <v>16</v>
      </c>
      <c r="B119" s="7">
        <v>31</v>
      </c>
      <c r="C119" s="7">
        <v>2</v>
      </c>
      <c r="D119" s="7">
        <v>2</v>
      </c>
      <c r="E119" s="8">
        <v>0</v>
      </c>
      <c r="F119" s="9">
        <v>1</v>
      </c>
      <c r="G119" s="9">
        <f t="shared" si="3"/>
        <v>9.3610000000000007</v>
      </c>
      <c r="H119" s="9">
        <f t="shared" si="4"/>
        <v>0.32955597285067917</v>
      </c>
      <c r="I119" s="9">
        <f t="shared" si="5"/>
        <v>1</v>
      </c>
    </row>
    <row r="120" spans="1:9" x14ac:dyDescent="0.25">
      <c r="A120" s="6">
        <v>12</v>
      </c>
      <c r="B120" s="7">
        <v>31</v>
      </c>
      <c r="C120" s="7">
        <v>3</v>
      </c>
      <c r="D120" s="7">
        <v>1</v>
      </c>
      <c r="E120" s="8">
        <v>3</v>
      </c>
      <c r="F120" s="9">
        <v>0</v>
      </c>
      <c r="G120" s="9">
        <f t="shared" si="3"/>
        <v>8.0640000000000001</v>
      </c>
      <c r="H120" s="9">
        <f t="shared" si="4"/>
        <v>-0.96744402714932143</v>
      </c>
      <c r="I120" s="9">
        <f t="shared" si="5"/>
        <v>0</v>
      </c>
    </row>
    <row r="121" spans="1:9" x14ac:dyDescent="0.25">
      <c r="A121" s="6">
        <v>15</v>
      </c>
      <c r="B121" s="7">
        <v>31</v>
      </c>
      <c r="C121" s="7">
        <v>3</v>
      </c>
      <c r="D121" s="7">
        <v>3</v>
      </c>
      <c r="E121" s="8">
        <v>0</v>
      </c>
      <c r="F121" s="9">
        <v>1</v>
      </c>
      <c r="G121" s="9">
        <f t="shared" si="3"/>
        <v>9.2910000000000004</v>
      </c>
      <c r="H121" s="9">
        <f t="shared" si="4"/>
        <v>0.25955597285067888</v>
      </c>
      <c r="I121" s="9">
        <f t="shared" si="5"/>
        <v>1</v>
      </c>
    </row>
    <row r="122" spans="1:9" x14ac:dyDescent="0.25">
      <c r="A122" s="6">
        <v>12</v>
      </c>
      <c r="B122" s="7">
        <v>31</v>
      </c>
      <c r="C122" s="7">
        <v>3</v>
      </c>
      <c r="D122" s="7">
        <v>0</v>
      </c>
      <c r="E122" s="8">
        <v>0</v>
      </c>
      <c r="F122" s="9">
        <v>0</v>
      </c>
      <c r="G122" s="9">
        <f t="shared" si="3"/>
        <v>8.0640000000000001</v>
      </c>
      <c r="H122" s="9">
        <f t="shared" si="4"/>
        <v>-0.96744402714932143</v>
      </c>
      <c r="I122" s="9">
        <f t="shared" si="5"/>
        <v>0</v>
      </c>
    </row>
    <row r="123" spans="1:9" x14ac:dyDescent="0.25">
      <c r="A123" s="6">
        <v>15</v>
      </c>
      <c r="B123" s="7">
        <v>31</v>
      </c>
      <c r="C123" s="7">
        <v>3</v>
      </c>
      <c r="D123" s="7">
        <v>0</v>
      </c>
      <c r="E123" s="8">
        <v>0</v>
      </c>
      <c r="F123" s="9">
        <v>1</v>
      </c>
      <c r="G123" s="9">
        <f t="shared" si="3"/>
        <v>9.2910000000000004</v>
      </c>
      <c r="H123" s="9">
        <f t="shared" si="4"/>
        <v>0.25955597285067888</v>
      </c>
      <c r="I123" s="9">
        <f t="shared" si="5"/>
        <v>1</v>
      </c>
    </row>
    <row r="124" spans="1:9" x14ac:dyDescent="0.25">
      <c r="A124" s="6">
        <v>12</v>
      </c>
      <c r="B124" s="7">
        <v>31</v>
      </c>
      <c r="C124" s="7">
        <v>4</v>
      </c>
      <c r="D124" s="7">
        <v>0</v>
      </c>
      <c r="E124" s="8">
        <v>2</v>
      </c>
      <c r="F124" s="9">
        <v>1</v>
      </c>
      <c r="G124" s="9">
        <f t="shared" si="3"/>
        <v>8.4030000000000005</v>
      </c>
      <c r="H124" s="9">
        <f t="shared" si="4"/>
        <v>-0.62844402714932102</v>
      </c>
      <c r="I124" s="9">
        <f t="shared" si="5"/>
        <v>0</v>
      </c>
    </row>
    <row r="125" spans="1:9" x14ac:dyDescent="0.25">
      <c r="A125" s="6">
        <v>13</v>
      </c>
      <c r="B125" s="7">
        <v>31</v>
      </c>
      <c r="C125" s="7">
        <v>4</v>
      </c>
      <c r="D125" s="7">
        <v>0</v>
      </c>
      <c r="E125" s="8">
        <v>3</v>
      </c>
      <c r="F125" s="9">
        <v>1</v>
      </c>
      <c r="G125" s="9">
        <f t="shared" si="3"/>
        <v>8.8119999999999994</v>
      </c>
      <c r="H125" s="9">
        <f t="shared" si="4"/>
        <v>-0.2194440271493221</v>
      </c>
      <c r="I125" s="9">
        <f t="shared" si="5"/>
        <v>0</v>
      </c>
    </row>
    <row r="126" spans="1:9" x14ac:dyDescent="0.25">
      <c r="A126" s="6">
        <v>12</v>
      </c>
      <c r="B126" s="7">
        <v>32</v>
      </c>
      <c r="C126" s="7">
        <v>1</v>
      </c>
      <c r="D126" s="7">
        <v>1</v>
      </c>
      <c r="E126" s="8">
        <v>2</v>
      </c>
      <c r="F126" s="9">
        <v>0</v>
      </c>
      <c r="G126" s="9">
        <f t="shared" si="3"/>
        <v>7.4550000000000001</v>
      </c>
      <c r="H126" s="9">
        <f t="shared" si="4"/>
        <v>-1.5764440271493214</v>
      </c>
      <c r="I126" s="9">
        <f t="shared" si="5"/>
        <v>0</v>
      </c>
    </row>
    <row r="127" spans="1:9" x14ac:dyDescent="0.25">
      <c r="A127" s="6">
        <v>15</v>
      </c>
      <c r="B127" s="7">
        <v>32</v>
      </c>
      <c r="C127" s="7">
        <v>1</v>
      </c>
      <c r="D127" s="7">
        <v>1</v>
      </c>
      <c r="E127" s="8">
        <v>0</v>
      </c>
      <c r="F127" s="9">
        <v>1</v>
      </c>
      <c r="G127" s="9">
        <f t="shared" si="3"/>
        <v>8.6820000000000004</v>
      </c>
      <c r="H127" s="9">
        <f t="shared" si="4"/>
        <v>-0.3494440271493211</v>
      </c>
      <c r="I127" s="9">
        <f t="shared" si="5"/>
        <v>0</v>
      </c>
    </row>
    <row r="128" spans="1:9" x14ac:dyDescent="0.25">
      <c r="A128" s="6">
        <v>15</v>
      </c>
      <c r="B128" s="7">
        <v>32</v>
      </c>
      <c r="C128" s="7">
        <v>1</v>
      </c>
      <c r="D128" s="7">
        <v>1</v>
      </c>
      <c r="E128" s="8">
        <v>2</v>
      </c>
      <c r="F128" s="9">
        <v>1</v>
      </c>
      <c r="G128" s="9">
        <f t="shared" si="3"/>
        <v>8.6820000000000004</v>
      </c>
      <c r="H128" s="9">
        <f t="shared" si="4"/>
        <v>-0.3494440271493211</v>
      </c>
      <c r="I128" s="9">
        <f t="shared" si="5"/>
        <v>0</v>
      </c>
    </row>
    <row r="129" spans="1:9" x14ac:dyDescent="0.25">
      <c r="A129" s="6">
        <v>16</v>
      </c>
      <c r="B129" s="7">
        <v>32</v>
      </c>
      <c r="C129" s="7">
        <v>1</v>
      </c>
      <c r="D129" s="7">
        <v>4</v>
      </c>
      <c r="E129" s="8">
        <v>2</v>
      </c>
      <c r="F129" s="9">
        <v>1</v>
      </c>
      <c r="G129" s="9">
        <f t="shared" si="3"/>
        <v>9.0909999999999993</v>
      </c>
      <c r="H129" s="9">
        <f t="shared" si="4"/>
        <v>5.9555972850677819E-2</v>
      </c>
      <c r="I129" s="9">
        <f t="shared" si="5"/>
        <v>1</v>
      </c>
    </row>
    <row r="130" spans="1:9" x14ac:dyDescent="0.25">
      <c r="A130" s="6">
        <v>12</v>
      </c>
      <c r="B130" s="7">
        <v>32</v>
      </c>
      <c r="C130" s="7">
        <v>1</v>
      </c>
      <c r="D130" s="7">
        <v>3</v>
      </c>
      <c r="E130" s="8">
        <v>0</v>
      </c>
      <c r="F130" s="9">
        <v>1</v>
      </c>
      <c r="G130" s="9">
        <f t="shared" ref="G130:G193" si="6">A130*$L$3+B130*$L$4+C130*$L$5</f>
        <v>7.4550000000000001</v>
      </c>
      <c r="H130" s="9">
        <f t="shared" si="4"/>
        <v>-1.5764440271493214</v>
      </c>
      <c r="I130" s="9">
        <f t="shared" si="5"/>
        <v>0</v>
      </c>
    </row>
    <row r="131" spans="1:9" x14ac:dyDescent="0.25">
      <c r="A131" s="6">
        <v>17</v>
      </c>
      <c r="B131" s="7">
        <v>32</v>
      </c>
      <c r="C131" s="7">
        <v>1</v>
      </c>
      <c r="D131" s="7">
        <v>1</v>
      </c>
      <c r="E131" s="8">
        <v>1</v>
      </c>
      <c r="F131" s="9">
        <v>1</v>
      </c>
      <c r="G131" s="9">
        <f t="shared" si="6"/>
        <v>9.5</v>
      </c>
      <c r="H131" s="9">
        <f t="shared" ref="H131:H194" si="7">G131-$L$11</f>
        <v>0.46855597285067851</v>
      </c>
      <c r="I131" s="9">
        <f t="shared" ref="I131:I194" si="8">IF(H131&lt;0,0,1)</f>
        <v>1</v>
      </c>
    </row>
    <row r="132" spans="1:9" x14ac:dyDescent="0.25">
      <c r="A132" s="6">
        <v>19</v>
      </c>
      <c r="B132" s="7">
        <v>32</v>
      </c>
      <c r="C132" s="7">
        <v>1</v>
      </c>
      <c r="D132" s="7">
        <v>0</v>
      </c>
      <c r="E132" s="8">
        <v>2</v>
      </c>
      <c r="F132" s="9">
        <v>1</v>
      </c>
      <c r="G132" s="9">
        <f t="shared" si="6"/>
        <v>10.318</v>
      </c>
      <c r="H132" s="9">
        <f t="shared" si="7"/>
        <v>1.2865559728506781</v>
      </c>
      <c r="I132" s="9">
        <f t="shared" si="8"/>
        <v>1</v>
      </c>
    </row>
    <row r="133" spans="1:9" x14ac:dyDescent="0.25">
      <c r="A133" s="6">
        <v>12</v>
      </c>
      <c r="B133" s="7">
        <v>32</v>
      </c>
      <c r="C133" s="7">
        <v>2</v>
      </c>
      <c r="D133" s="7">
        <v>0</v>
      </c>
      <c r="E133" s="8">
        <v>0</v>
      </c>
      <c r="F133" s="9">
        <v>0</v>
      </c>
      <c r="G133" s="9">
        <f t="shared" si="6"/>
        <v>7.7939999999999996</v>
      </c>
      <c r="H133" s="9">
        <f t="shared" si="7"/>
        <v>-1.2374440271493219</v>
      </c>
      <c r="I133" s="9">
        <f t="shared" si="8"/>
        <v>0</v>
      </c>
    </row>
    <row r="134" spans="1:9" x14ac:dyDescent="0.25">
      <c r="A134" s="6">
        <v>12</v>
      </c>
      <c r="B134" s="7">
        <v>32</v>
      </c>
      <c r="C134" s="7">
        <v>2</v>
      </c>
      <c r="D134" s="7">
        <v>0</v>
      </c>
      <c r="E134" s="8">
        <v>2</v>
      </c>
      <c r="F134" s="9">
        <v>0</v>
      </c>
      <c r="G134" s="9">
        <f t="shared" si="6"/>
        <v>7.7939999999999996</v>
      </c>
      <c r="H134" s="9">
        <f t="shared" si="7"/>
        <v>-1.2374440271493219</v>
      </c>
      <c r="I134" s="9">
        <f t="shared" si="8"/>
        <v>0</v>
      </c>
    </row>
    <row r="135" spans="1:9" x14ac:dyDescent="0.25">
      <c r="A135" s="6">
        <v>12</v>
      </c>
      <c r="B135" s="7">
        <v>32</v>
      </c>
      <c r="C135" s="7">
        <v>3</v>
      </c>
      <c r="D135" s="7">
        <v>0</v>
      </c>
      <c r="E135" s="8">
        <v>2</v>
      </c>
      <c r="F135" s="9">
        <v>0</v>
      </c>
      <c r="G135" s="9">
        <f t="shared" si="6"/>
        <v>8.1329999999999991</v>
      </c>
      <c r="H135" s="9">
        <f t="shared" si="7"/>
        <v>-0.89844402714932237</v>
      </c>
      <c r="I135" s="9">
        <f t="shared" si="8"/>
        <v>0</v>
      </c>
    </row>
    <row r="136" spans="1:9" x14ac:dyDescent="0.25">
      <c r="A136" s="6">
        <v>12</v>
      </c>
      <c r="B136" s="7">
        <v>32</v>
      </c>
      <c r="C136" s="7">
        <v>3</v>
      </c>
      <c r="D136" s="7">
        <v>2</v>
      </c>
      <c r="E136" s="8">
        <v>2</v>
      </c>
      <c r="F136" s="9">
        <v>0</v>
      </c>
      <c r="G136" s="9">
        <f t="shared" si="6"/>
        <v>8.1329999999999991</v>
      </c>
      <c r="H136" s="9">
        <f t="shared" si="7"/>
        <v>-0.89844402714932237</v>
      </c>
      <c r="I136" s="9">
        <f t="shared" si="8"/>
        <v>0</v>
      </c>
    </row>
    <row r="137" spans="1:9" x14ac:dyDescent="0.25">
      <c r="A137" s="6">
        <v>16</v>
      </c>
      <c r="B137" s="7">
        <v>32</v>
      </c>
      <c r="C137" s="7">
        <v>3</v>
      </c>
      <c r="D137" s="7">
        <v>0</v>
      </c>
      <c r="E137" s="8">
        <v>1</v>
      </c>
      <c r="F137" s="9">
        <v>1</v>
      </c>
      <c r="G137" s="9">
        <f t="shared" si="6"/>
        <v>9.7689999999999984</v>
      </c>
      <c r="H137" s="9">
        <f t="shared" si="7"/>
        <v>0.73755597285067687</v>
      </c>
      <c r="I137" s="9">
        <f t="shared" si="8"/>
        <v>1</v>
      </c>
    </row>
    <row r="138" spans="1:9" x14ac:dyDescent="0.25">
      <c r="A138" s="6">
        <v>16</v>
      </c>
      <c r="B138" s="7">
        <v>32</v>
      </c>
      <c r="C138" s="7">
        <v>3</v>
      </c>
      <c r="D138" s="7">
        <v>0</v>
      </c>
      <c r="E138" s="8">
        <v>0</v>
      </c>
      <c r="F138" s="9">
        <v>1</v>
      </c>
      <c r="G138" s="9">
        <f t="shared" si="6"/>
        <v>9.7689999999999984</v>
      </c>
      <c r="H138" s="9">
        <f t="shared" si="7"/>
        <v>0.73755597285067687</v>
      </c>
      <c r="I138" s="9">
        <f t="shared" si="8"/>
        <v>1</v>
      </c>
    </row>
    <row r="139" spans="1:9" x14ac:dyDescent="0.25">
      <c r="A139" s="6">
        <v>15</v>
      </c>
      <c r="B139" s="7">
        <v>32</v>
      </c>
      <c r="C139" s="7">
        <v>3</v>
      </c>
      <c r="D139" s="7">
        <v>0</v>
      </c>
      <c r="E139" s="8">
        <v>0</v>
      </c>
      <c r="F139" s="9">
        <v>0</v>
      </c>
      <c r="G139" s="9">
        <f t="shared" si="6"/>
        <v>9.36</v>
      </c>
      <c r="H139" s="9">
        <f t="shared" si="7"/>
        <v>0.32855597285067795</v>
      </c>
      <c r="I139" s="9">
        <f t="shared" si="8"/>
        <v>1</v>
      </c>
    </row>
    <row r="140" spans="1:9" x14ac:dyDescent="0.25">
      <c r="A140" s="6">
        <v>16</v>
      </c>
      <c r="B140" s="7">
        <v>32</v>
      </c>
      <c r="C140" s="7">
        <v>3</v>
      </c>
      <c r="D140" s="7">
        <v>1</v>
      </c>
      <c r="E140" s="8">
        <v>2</v>
      </c>
      <c r="F140" s="9">
        <v>1</v>
      </c>
      <c r="G140" s="9">
        <f t="shared" si="6"/>
        <v>9.7689999999999984</v>
      </c>
      <c r="H140" s="9">
        <f t="shared" si="7"/>
        <v>0.73755597285067687</v>
      </c>
      <c r="I140" s="9">
        <f t="shared" si="8"/>
        <v>1</v>
      </c>
    </row>
    <row r="141" spans="1:9" x14ac:dyDescent="0.25">
      <c r="A141" s="6">
        <v>15</v>
      </c>
      <c r="B141" s="7">
        <v>32</v>
      </c>
      <c r="C141" s="7">
        <v>3</v>
      </c>
      <c r="D141" s="7">
        <v>0</v>
      </c>
      <c r="E141" s="8">
        <v>2</v>
      </c>
      <c r="F141" s="9">
        <v>1</v>
      </c>
      <c r="G141" s="9">
        <f t="shared" si="6"/>
        <v>9.36</v>
      </c>
      <c r="H141" s="9">
        <f t="shared" si="7"/>
        <v>0.32855597285067795</v>
      </c>
      <c r="I141" s="9">
        <f t="shared" si="8"/>
        <v>1</v>
      </c>
    </row>
    <row r="142" spans="1:9" x14ac:dyDescent="0.25">
      <c r="A142" s="6">
        <v>12</v>
      </c>
      <c r="B142" s="7">
        <v>33</v>
      </c>
      <c r="C142" s="7">
        <v>0</v>
      </c>
      <c r="D142" s="7">
        <v>2</v>
      </c>
      <c r="E142" s="8">
        <v>2</v>
      </c>
      <c r="F142" s="9">
        <v>0</v>
      </c>
      <c r="G142" s="9">
        <f t="shared" si="6"/>
        <v>7.1849999999999996</v>
      </c>
      <c r="H142" s="9">
        <f t="shared" si="7"/>
        <v>-1.8464440271493219</v>
      </c>
      <c r="I142" s="9">
        <f t="shared" si="8"/>
        <v>0</v>
      </c>
    </row>
    <row r="143" spans="1:9" x14ac:dyDescent="0.25">
      <c r="A143" s="6">
        <v>11</v>
      </c>
      <c r="B143" s="7">
        <v>33</v>
      </c>
      <c r="C143" s="7">
        <v>1</v>
      </c>
      <c r="D143" s="7">
        <v>4</v>
      </c>
      <c r="E143" s="8">
        <v>2</v>
      </c>
      <c r="F143" s="9">
        <v>0</v>
      </c>
      <c r="G143" s="9">
        <f t="shared" si="6"/>
        <v>7.1150000000000002</v>
      </c>
      <c r="H143" s="9">
        <f t="shared" si="7"/>
        <v>-1.9164440271493213</v>
      </c>
      <c r="I143" s="9">
        <f t="shared" si="8"/>
        <v>0</v>
      </c>
    </row>
    <row r="144" spans="1:9" x14ac:dyDescent="0.25">
      <c r="A144" s="6">
        <v>12</v>
      </c>
      <c r="B144" s="7">
        <v>33</v>
      </c>
      <c r="C144" s="7">
        <v>1</v>
      </c>
      <c r="D144" s="7">
        <v>1</v>
      </c>
      <c r="E144" s="8">
        <v>1</v>
      </c>
      <c r="F144" s="9">
        <v>0</v>
      </c>
      <c r="G144" s="9">
        <f t="shared" si="6"/>
        <v>7.524</v>
      </c>
      <c r="H144" s="9">
        <f t="shared" si="7"/>
        <v>-1.5074440271493215</v>
      </c>
      <c r="I144" s="9">
        <f t="shared" si="8"/>
        <v>0</v>
      </c>
    </row>
    <row r="145" spans="1:9" x14ac:dyDescent="0.25">
      <c r="A145" s="6">
        <v>12</v>
      </c>
      <c r="B145" s="7">
        <v>33</v>
      </c>
      <c r="C145" s="7">
        <v>1</v>
      </c>
      <c r="D145" s="7">
        <v>4</v>
      </c>
      <c r="E145" s="8">
        <v>3</v>
      </c>
      <c r="F145" s="9">
        <v>0</v>
      </c>
      <c r="G145" s="9">
        <f t="shared" si="6"/>
        <v>7.524</v>
      </c>
      <c r="H145" s="9">
        <f t="shared" si="7"/>
        <v>-1.5074440271493215</v>
      </c>
      <c r="I145" s="9">
        <f t="shared" si="8"/>
        <v>0</v>
      </c>
    </row>
    <row r="146" spans="1:9" x14ac:dyDescent="0.25">
      <c r="A146" s="6">
        <v>13</v>
      </c>
      <c r="B146" s="7">
        <v>33</v>
      </c>
      <c r="C146" s="7">
        <v>1</v>
      </c>
      <c r="D146" s="7">
        <v>0</v>
      </c>
      <c r="E146" s="8">
        <v>0</v>
      </c>
      <c r="F146" s="9">
        <v>0</v>
      </c>
      <c r="G146" s="9">
        <f t="shared" si="6"/>
        <v>7.9329999999999998</v>
      </c>
      <c r="H146" s="9">
        <f t="shared" si="7"/>
        <v>-1.0984440271493217</v>
      </c>
      <c r="I146" s="9">
        <f t="shared" si="8"/>
        <v>0</v>
      </c>
    </row>
    <row r="147" spans="1:9" x14ac:dyDescent="0.25">
      <c r="A147" s="6">
        <v>15</v>
      </c>
      <c r="B147" s="7">
        <v>33</v>
      </c>
      <c r="C147" s="7">
        <v>1</v>
      </c>
      <c r="D147" s="7">
        <v>2</v>
      </c>
      <c r="E147" s="8">
        <v>0</v>
      </c>
      <c r="F147" s="9">
        <v>0</v>
      </c>
      <c r="G147" s="9">
        <f t="shared" si="6"/>
        <v>8.7509999999999994</v>
      </c>
      <c r="H147" s="9">
        <f t="shared" si="7"/>
        <v>-0.28044402714932204</v>
      </c>
      <c r="I147" s="9">
        <f t="shared" si="8"/>
        <v>0</v>
      </c>
    </row>
    <row r="148" spans="1:9" x14ac:dyDescent="0.25">
      <c r="A148" s="6">
        <v>15</v>
      </c>
      <c r="B148" s="7">
        <v>33</v>
      </c>
      <c r="C148" s="7">
        <v>1</v>
      </c>
      <c r="D148" s="7">
        <v>2</v>
      </c>
      <c r="E148" s="8">
        <v>1</v>
      </c>
      <c r="F148" s="9">
        <v>1</v>
      </c>
      <c r="G148" s="9">
        <f t="shared" si="6"/>
        <v>8.7509999999999994</v>
      </c>
      <c r="H148" s="9">
        <f t="shared" si="7"/>
        <v>-0.28044402714932204</v>
      </c>
      <c r="I148" s="9">
        <f t="shared" si="8"/>
        <v>0</v>
      </c>
    </row>
    <row r="149" spans="1:9" x14ac:dyDescent="0.25">
      <c r="A149" s="6">
        <v>16</v>
      </c>
      <c r="B149" s="7">
        <v>33</v>
      </c>
      <c r="C149" s="7">
        <v>1</v>
      </c>
      <c r="D149" s="7">
        <v>3</v>
      </c>
      <c r="E149" s="8">
        <v>0</v>
      </c>
      <c r="F149" s="9">
        <v>1</v>
      </c>
      <c r="G149" s="9">
        <f t="shared" si="6"/>
        <v>9.16</v>
      </c>
      <c r="H149" s="9">
        <f t="shared" si="7"/>
        <v>0.12855597285067866</v>
      </c>
      <c r="I149" s="9">
        <f t="shared" si="8"/>
        <v>1</v>
      </c>
    </row>
    <row r="150" spans="1:9" x14ac:dyDescent="0.25">
      <c r="A150" s="6">
        <v>12</v>
      </c>
      <c r="B150" s="7">
        <v>33</v>
      </c>
      <c r="C150" s="7">
        <v>2</v>
      </c>
      <c r="D150" s="7">
        <v>2</v>
      </c>
      <c r="E150" s="8">
        <v>2</v>
      </c>
      <c r="F150" s="9">
        <v>0</v>
      </c>
      <c r="G150" s="9">
        <f t="shared" si="6"/>
        <v>7.8629999999999995</v>
      </c>
      <c r="H150" s="9">
        <f t="shared" si="7"/>
        <v>-1.1684440271493219</v>
      </c>
      <c r="I150" s="9">
        <f t="shared" si="8"/>
        <v>0</v>
      </c>
    </row>
    <row r="151" spans="1:9" x14ac:dyDescent="0.25">
      <c r="A151" s="6">
        <v>13</v>
      </c>
      <c r="B151" s="7">
        <v>33</v>
      </c>
      <c r="C151" s="7">
        <v>2</v>
      </c>
      <c r="D151" s="7">
        <v>1</v>
      </c>
      <c r="E151" s="8">
        <v>3</v>
      </c>
      <c r="F151" s="9">
        <v>0</v>
      </c>
      <c r="G151" s="9">
        <f t="shared" si="6"/>
        <v>8.2720000000000002</v>
      </c>
      <c r="H151" s="9">
        <f t="shared" si="7"/>
        <v>-0.75944402714932124</v>
      </c>
      <c r="I151" s="9">
        <f t="shared" si="8"/>
        <v>0</v>
      </c>
    </row>
    <row r="152" spans="1:9" x14ac:dyDescent="0.25">
      <c r="A152" s="6">
        <v>15</v>
      </c>
      <c r="B152" s="7">
        <v>33</v>
      </c>
      <c r="C152" s="7">
        <v>2</v>
      </c>
      <c r="D152" s="7">
        <v>0</v>
      </c>
      <c r="E152" s="8">
        <v>1</v>
      </c>
      <c r="F152" s="9">
        <v>0</v>
      </c>
      <c r="G152" s="9">
        <f t="shared" si="6"/>
        <v>9.09</v>
      </c>
      <c r="H152" s="9">
        <f t="shared" si="7"/>
        <v>5.8555972850678373E-2</v>
      </c>
      <c r="I152" s="9">
        <f t="shared" si="8"/>
        <v>1</v>
      </c>
    </row>
    <row r="153" spans="1:9" x14ac:dyDescent="0.25">
      <c r="A153" s="6">
        <v>15</v>
      </c>
      <c r="B153" s="7">
        <v>33</v>
      </c>
      <c r="C153" s="7">
        <v>2</v>
      </c>
      <c r="D153" s="7">
        <v>1</v>
      </c>
      <c r="E153" s="8">
        <v>0</v>
      </c>
      <c r="F153" s="9">
        <v>0</v>
      </c>
      <c r="G153" s="9">
        <f t="shared" si="6"/>
        <v>9.09</v>
      </c>
      <c r="H153" s="9">
        <f t="shared" si="7"/>
        <v>5.8555972850678373E-2</v>
      </c>
      <c r="I153" s="9">
        <f t="shared" si="8"/>
        <v>1</v>
      </c>
    </row>
    <row r="154" spans="1:9" x14ac:dyDescent="0.25">
      <c r="A154" s="6">
        <v>16</v>
      </c>
      <c r="B154" s="7">
        <v>33</v>
      </c>
      <c r="C154" s="7">
        <v>2</v>
      </c>
      <c r="D154" s="7">
        <v>0</v>
      </c>
      <c r="E154" s="8">
        <v>2</v>
      </c>
      <c r="F154" s="9">
        <v>1</v>
      </c>
      <c r="G154" s="9">
        <f t="shared" si="6"/>
        <v>9.4990000000000006</v>
      </c>
      <c r="H154" s="9">
        <f t="shared" si="7"/>
        <v>0.46755597285067907</v>
      </c>
      <c r="I154" s="9">
        <f t="shared" si="8"/>
        <v>1</v>
      </c>
    </row>
    <row r="155" spans="1:9" x14ac:dyDescent="0.25">
      <c r="A155" s="6">
        <v>12</v>
      </c>
      <c r="B155" s="7">
        <v>33</v>
      </c>
      <c r="C155" s="7">
        <v>2</v>
      </c>
      <c r="D155" s="7">
        <v>2</v>
      </c>
      <c r="E155" s="8">
        <v>1</v>
      </c>
      <c r="F155" s="9">
        <v>0</v>
      </c>
      <c r="G155" s="9">
        <f t="shared" si="6"/>
        <v>7.8629999999999995</v>
      </c>
      <c r="H155" s="9">
        <f t="shared" si="7"/>
        <v>-1.1684440271493219</v>
      </c>
      <c r="I155" s="9">
        <f t="shared" si="8"/>
        <v>0</v>
      </c>
    </row>
    <row r="156" spans="1:9" x14ac:dyDescent="0.25">
      <c r="A156" s="6">
        <v>15</v>
      </c>
      <c r="B156" s="7">
        <v>33</v>
      </c>
      <c r="C156" s="7">
        <v>2</v>
      </c>
      <c r="D156" s="7">
        <v>0</v>
      </c>
      <c r="E156" s="8">
        <v>0</v>
      </c>
      <c r="F156" s="9">
        <v>1</v>
      </c>
      <c r="G156" s="9">
        <f t="shared" si="6"/>
        <v>9.09</v>
      </c>
      <c r="H156" s="9">
        <f t="shared" si="7"/>
        <v>5.8555972850678373E-2</v>
      </c>
      <c r="I156" s="9">
        <f t="shared" si="8"/>
        <v>1</v>
      </c>
    </row>
    <row r="157" spans="1:9" x14ac:dyDescent="0.25">
      <c r="A157" s="6">
        <v>9</v>
      </c>
      <c r="B157" s="7">
        <v>33</v>
      </c>
      <c r="C157" s="7">
        <v>2</v>
      </c>
      <c r="D157" s="7">
        <v>2</v>
      </c>
      <c r="E157" s="8">
        <v>1</v>
      </c>
      <c r="F157" s="9">
        <v>0</v>
      </c>
      <c r="G157" s="9">
        <f t="shared" si="6"/>
        <v>6.6360000000000001</v>
      </c>
      <c r="H157" s="9">
        <f t="shared" si="7"/>
        <v>-2.3954440271493214</v>
      </c>
      <c r="I157" s="9">
        <f t="shared" si="8"/>
        <v>0</v>
      </c>
    </row>
    <row r="158" spans="1:9" x14ac:dyDescent="0.25">
      <c r="A158" s="6">
        <v>12</v>
      </c>
      <c r="B158" s="7">
        <v>33</v>
      </c>
      <c r="C158" s="7">
        <v>3</v>
      </c>
      <c r="D158" s="7">
        <v>2</v>
      </c>
      <c r="E158" s="8">
        <v>2</v>
      </c>
      <c r="F158" s="9">
        <v>0</v>
      </c>
      <c r="G158" s="9">
        <f t="shared" si="6"/>
        <v>8.202</v>
      </c>
      <c r="H158" s="9">
        <f t="shared" si="7"/>
        <v>-0.82944402714932153</v>
      </c>
      <c r="I158" s="9">
        <f t="shared" si="8"/>
        <v>0</v>
      </c>
    </row>
    <row r="159" spans="1:9" x14ac:dyDescent="0.25">
      <c r="A159" s="6">
        <v>15</v>
      </c>
      <c r="B159" s="7">
        <v>33</v>
      </c>
      <c r="C159" s="7">
        <v>3</v>
      </c>
      <c r="D159" s="7">
        <v>2</v>
      </c>
      <c r="E159" s="8">
        <v>0</v>
      </c>
      <c r="F159" s="9">
        <v>0</v>
      </c>
      <c r="G159" s="9">
        <f t="shared" si="6"/>
        <v>9.4289999999999985</v>
      </c>
      <c r="H159" s="9">
        <f t="shared" si="7"/>
        <v>0.39755597285067701</v>
      </c>
      <c r="I159" s="9">
        <f t="shared" si="8"/>
        <v>1</v>
      </c>
    </row>
    <row r="160" spans="1:9" x14ac:dyDescent="0.25">
      <c r="A160" s="6">
        <v>10</v>
      </c>
      <c r="B160" s="7">
        <v>33</v>
      </c>
      <c r="C160" s="7">
        <v>4</v>
      </c>
      <c r="D160" s="7">
        <v>1</v>
      </c>
      <c r="E160" s="8">
        <v>2</v>
      </c>
      <c r="F160" s="9">
        <v>0</v>
      </c>
      <c r="G160" s="9">
        <f t="shared" si="6"/>
        <v>7.7229999999999999</v>
      </c>
      <c r="H160" s="9">
        <f t="shared" si="7"/>
        <v>-1.3084440271493216</v>
      </c>
      <c r="I160" s="9">
        <f t="shared" si="8"/>
        <v>0</v>
      </c>
    </row>
    <row r="161" spans="1:9" x14ac:dyDescent="0.25">
      <c r="A161" s="6">
        <v>11</v>
      </c>
      <c r="B161" s="7">
        <v>33</v>
      </c>
      <c r="C161" s="7">
        <v>4</v>
      </c>
      <c r="D161" s="7">
        <v>2</v>
      </c>
      <c r="E161" s="8">
        <v>2</v>
      </c>
      <c r="F161" s="9">
        <v>1</v>
      </c>
      <c r="G161" s="9">
        <f t="shared" si="6"/>
        <v>8.1319999999999997</v>
      </c>
      <c r="H161" s="9">
        <f t="shared" si="7"/>
        <v>-0.89944402714932181</v>
      </c>
      <c r="I161" s="9">
        <f t="shared" si="8"/>
        <v>0</v>
      </c>
    </row>
    <row r="162" spans="1:9" x14ac:dyDescent="0.25">
      <c r="A162" s="6">
        <v>12</v>
      </c>
      <c r="B162" s="7">
        <v>33</v>
      </c>
      <c r="C162" s="7">
        <v>4</v>
      </c>
      <c r="D162" s="7">
        <v>0</v>
      </c>
      <c r="E162" s="8">
        <v>3</v>
      </c>
      <c r="F162" s="9">
        <v>1</v>
      </c>
      <c r="G162" s="9">
        <f t="shared" si="6"/>
        <v>8.5410000000000004</v>
      </c>
      <c r="H162" s="9">
        <f t="shared" si="7"/>
        <v>-0.49044402714932112</v>
      </c>
      <c r="I162" s="9">
        <f t="shared" si="8"/>
        <v>0</v>
      </c>
    </row>
    <row r="163" spans="1:9" x14ac:dyDescent="0.25">
      <c r="A163" s="6">
        <v>13</v>
      </c>
      <c r="B163" s="7">
        <v>33</v>
      </c>
      <c r="C163" s="7">
        <v>4</v>
      </c>
      <c r="D163" s="7">
        <v>2</v>
      </c>
      <c r="E163" s="8">
        <v>0</v>
      </c>
      <c r="F163" s="9">
        <v>1</v>
      </c>
      <c r="G163" s="9">
        <f t="shared" si="6"/>
        <v>8.9499999999999993</v>
      </c>
      <c r="H163" s="9">
        <f t="shared" si="7"/>
        <v>-8.1444027149322196E-2</v>
      </c>
      <c r="I163" s="9">
        <f t="shared" si="8"/>
        <v>0</v>
      </c>
    </row>
    <row r="164" spans="1:9" x14ac:dyDescent="0.25">
      <c r="A164" s="6">
        <v>15</v>
      </c>
      <c r="B164" s="7">
        <v>33</v>
      </c>
      <c r="C164" s="7">
        <v>4</v>
      </c>
      <c r="D164" s="7">
        <v>0</v>
      </c>
      <c r="E164" s="8">
        <v>2</v>
      </c>
      <c r="F164" s="9">
        <v>1</v>
      </c>
      <c r="G164" s="9">
        <f t="shared" si="6"/>
        <v>9.7679999999999989</v>
      </c>
      <c r="H164" s="9">
        <f t="shared" si="7"/>
        <v>0.73655597285067742</v>
      </c>
      <c r="I164" s="9">
        <f t="shared" si="8"/>
        <v>1</v>
      </c>
    </row>
    <row r="165" spans="1:9" x14ac:dyDescent="0.25">
      <c r="A165" s="6">
        <v>17</v>
      </c>
      <c r="B165" s="7">
        <v>34</v>
      </c>
      <c r="C165" s="7">
        <v>1</v>
      </c>
      <c r="D165" s="7">
        <v>2</v>
      </c>
      <c r="E165" s="8">
        <v>2</v>
      </c>
      <c r="F165" s="9">
        <v>1</v>
      </c>
      <c r="G165" s="9">
        <f t="shared" si="6"/>
        <v>9.6379999999999999</v>
      </c>
      <c r="H165" s="9">
        <f t="shared" si="7"/>
        <v>0.60655597285067842</v>
      </c>
      <c r="I165" s="9">
        <f t="shared" si="8"/>
        <v>1</v>
      </c>
    </row>
    <row r="166" spans="1:9" x14ac:dyDescent="0.25">
      <c r="A166" s="6">
        <v>16</v>
      </c>
      <c r="B166" s="7">
        <v>34</v>
      </c>
      <c r="C166" s="7">
        <v>1</v>
      </c>
      <c r="D166" s="7">
        <v>0</v>
      </c>
      <c r="E166" s="8">
        <v>0</v>
      </c>
      <c r="F166" s="9">
        <v>1</v>
      </c>
      <c r="G166" s="9">
        <f t="shared" si="6"/>
        <v>9.229000000000001</v>
      </c>
      <c r="H166" s="9">
        <f t="shared" si="7"/>
        <v>0.1975559728506795</v>
      </c>
      <c r="I166" s="9">
        <f t="shared" si="8"/>
        <v>1</v>
      </c>
    </row>
    <row r="167" spans="1:9" x14ac:dyDescent="0.25">
      <c r="A167" s="6">
        <v>15</v>
      </c>
      <c r="B167" s="7">
        <v>34</v>
      </c>
      <c r="C167" s="7">
        <v>1</v>
      </c>
      <c r="D167" s="7">
        <v>3</v>
      </c>
      <c r="E167" s="8">
        <v>2</v>
      </c>
      <c r="F167" s="9">
        <v>1</v>
      </c>
      <c r="G167" s="9">
        <f t="shared" si="6"/>
        <v>8.82</v>
      </c>
      <c r="H167" s="9">
        <f t="shared" si="7"/>
        <v>-0.2114440271493212</v>
      </c>
      <c r="I167" s="9">
        <f t="shared" si="8"/>
        <v>0</v>
      </c>
    </row>
    <row r="168" spans="1:9" x14ac:dyDescent="0.25">
      <c r="A168" s="6">
        <v>15</v>
      </c>
      <c r="B168" s="7">
        <v>34</v>
      </c>
      <c r="C168" s="7">
        <v>1</v>
      </c>
      <c r="D168" s="7">
        <v>0</v>
      </c>
      <c r="E168" s="8">
        <v>0</v>
      </c>
      <c r="F168" s="9">
        <v>1</v>
      </c>
      <c r="G168" s="9">
        <f t="shared" si="6"/>
        <v>8.82</v>
      </c>
      <c r="H168" s="9">
        <f t="shared" si="7"/>
        <v>-0.2114440271493212</v>
      </c>
      <c r="I168" s="9">
        <f t="shared" si="8"/>
        <v>0</v>
      </c>
    </row>
    <row r="169" spans="1:9" x14ac:dyDescent="0.25">
      <c r="A169" s="6">
        <v>16</v>
      </c>
      <c r="B169" s="7">
        <v>34</v>
      </c>
      <c r="C169" s="7">
        <v>1</v>
      </c>
      <c r="D169" s="7">
        <v>0</v>
      </c>
      <c r="E169" s="8">
        <v>0</v>
      </c>
      <c r="F169" s="9">
        <v>1</v>
      </c>
      <c r="G169" s="9">
        <f t="shared" si="6"/>
        <v>9.229000000000001</v>
      </c>
      <c r="H169" s="9">
        <f t="shared" si="7"/>
        <v>0.1975559728506795</v>
      </c>
      <c r="I169" s="9">
        <f t="shared" si="8"/>
        <v>1</v>
      </c>
    </row>
    <row r="170" spans="1:9" x14ac:dyDescent="0.25">
      <c r="A170" s="6">
        <v>16</v>
      </c>
      <c r="B170" s="7">
        <v>34</v>
      </c>
      <c r="C170" s="7">
        <v>1</v>
      </c>
      <c r="D170" s="7">
        <v>2</v>
      </c>
      <c r="E170" s="8">
        <v>1</v>
      </c>
      <c r="F170" s="9">
        <v>1</v>
      </c>
      <c r="G170" s="9">
        <f t="shared" si="6"/>
        <v>9.229000000000001</v>
      </c>
      <c r="H170" s="9">
        <f t="shared" si="7"/>
        <v>0.1975559728506795</v>
      </c>
      <c r="I170" s="9">
        <f t="shared" si="8"/>
        <v>1</v>
      </c>
    </row>
    <row r="171" spans="1:9" x14ac:dyDescent="0.25">
      <c r="A171" s="6">
        <v>9</v>
      </c>
      <c r="B171" s="7">
        <v>34</v>
      </c>
      <c r="C171" s="7">
        <v>2</v>
      </c>
      <c r="D171" s="7">
        <v>0</v>
      </c>
      <c r="E171" s="8">
        <v>4</v>
      </c>
      <c r="F171" s="9">
        <v>0</v>
      </c>
      <c r="G171" s="9">
        <f t="shared" si="6"/>
        <v>6.7049999999999992</v>
      </c>
      <c r="H171" s="9">
        <f t="shared" si="7"/>
        <v>-2.3264440271493223</v>
      </c>
      <c r="I171" s="9">
        <f t="shared" si="8"/>
        <v>0</v>
      </c>
    </row>
    <row r="172" spans="1:9" x14ac:dyDescent="0.25">
      <c r="A172" s="6">
        <v>12</v>
      </c>
      <c r="B172" s="7">
        <v>34</v>
      </c>
      <c r="C172" s="7">
        <v>3</v>
      </c>
      <c r="D172" s="7">
        <v>3</v>
      </c>
      <c r="E172" s="8">
        <v>0</v>
      </c>
      <c r="F172" s="9">
        <v>0</v>
      </c>
      <c r="G172" s="9">
        <f t="shared" si="6"/>
        <v>8.270999999999999</v>
      </c>
      <c r="H172" s="9">
        <f t="shared" si="7"/>
        <v>-0.76044402714932247</v>
      </c>
      <c r="I172" s="9">
        <f t="shared" si="8"/>
        <v>0</v>
      </c>
    </row>
    <row r="173" spans="1:9" x14ac:dyDescent="0.25">
      <c r="A173" s="6">
        <v>12</v>
      </c>
      <c r="B173" s="7">
        <v>34</v>
      </c>
      <c r="C173" s="7">
        <v>3</v>
      </c>
      <c r="D173" s="7">
        <v>1</v>
      </c>
      <c r="E173" s="8">
        <v>2</v>
      </c>
      <c r="F173" s="9">
        <v>0</v>
      </c>
      <c r="G173" s="9">
        <f t="shared" si="6"/>
        <v>8.270999999999999</v>
      </c>
      <c r="H173" s="9">
        <f t="shared" si="7"/>
        <v>-0.76044402714932247</v>
      </c>
      <c r="I173" s="9">
        <f t="shared" si="8"/>
        <v>0</v>
      </c>
    </row>
    <row r="174" spans="1:9" x14ac:dyDescent="0.25">
      <c r="A174" s="6">
        <v>15</v>
      </c>
      <c r="B174" s="7">
        <v>34</v>
      </c>
      <c r="C174" s="7">
        <v>3</v>
      </c>
      <c r="D174" s="7">
        <v>1</v>
      </c>
      <c r="E174" s="8">
        <v>2</v>
      </c>
      <c r="F174" s="9">
        <v>1</v>
      </c>
      <c r="G174" s="9">
        <f t="shared" si="6"/>
        <v>9.4979999999999993</v>
      </c>
      <c r="H174" s="9">
        <f t="shared" si="7"/>
        <v>0.46655597285067785</v>
      </c>
      <c r="I174" s="9">
        <f t="shared" si="8"/>
        <v>1</v>
      </c>
    </row>
    <row r="175" spans="1:9" x14ac:dyDescent="0.25">
      <c r="A175" s="6">
        <v>12</v>
      </c>
      <c r="B175" s="7">
        <v>34</v>
      </c>
      <c r="C175" s="7">
        <v>5</v>
      </c>
      <c r="D175" s="7">
        <v>0</v>
      </c>
      <c r="E175" s="8">
        <v>2</v>
      </c>
      <c r="F175" s="9">
        <v>1</v>
      </c>
      <c r="G175" s="9">
        <f t="shared" si="6"/>
        <v>8.9489999999999998</v>
      </c>
      <c r="H175" s="9">
        <f t="shared" si="7"/>
        <v>-8.2444027149321641E-2</v>
      </c>
      <c r="I175" s="9">
        <f t="shared" si="8"/>
        <v>0</v>
      </c>
    </row>
    <row r="176" spans="1:9" x14ac:dyDescent="0.25">
      <c r="A176" s="6">
        <v>13</v>
      </c>
      <c r="B176" s="7">
        <v>34</v>
      </c>
      <c r="C176" s="7">
        <v>5</v>
      </c>
      <c r="D176" s="7">
        <v>0</v>
      </c>
      <c r="E176" s="8">
        <v>1</v>
      </c>
      <c r="F176" s="9">
        <v>1</v>
      </c>
      <c r="G176" s="9">
        <f t="shared" si="6"/>
        <v>9.3579999999999988</v>
      </c>
      <c r="H176" s="9">
        <f t="shared" si="7"/>
        <v>0.32655597285067728</v>
      </c>
      <c r="I176" s="9">
        <f t="shared" si="8"/>
        <v>1</v>
      </c>
    </row>
    <row r="177" spans="1:9" x14ac:dyDescent="0.25">
      <c r="A177" s="6">
        <v>15</v>
      </c>
      <c r="B177" s="7">
        <v>35</v>
      </c>
      <c r="C177" s="7">
        <v>0</v>
      </c>
      <c r="D177" s="7">
        <v>1</v>
      </c>
      <c r="E177" s="8">
        <v>1</v>
      </c>
      <c r="F177" s="9">
        <v>1</v>
      </c>
      <c r="G177" s="9">
        <f t="shared" si="6"/>
        <v>8.5500000000000007</v>
      </c>
      <c r="H177" s="9">
        <f t="shared" si="7"/>
        <v>-0.48144402714932077</v>
      </c>
      <c r="I177" s="9">
        <f t="shared" si="8"/>
        <v>0</v>
      </c>
    </row>
    <row r="178" spans="1:9" x14ac:dyDescent="0.25">
      <c r="A178" s="6">
        <v>16</v>
      </c>
      <c r="B178" s="7">
        <v>35</v>
      </c>
      <c r="C178" s="7">
        <v>0</v>
      </c>
      <c r="D178" s="7">
        <v>0</v>
      </c>
      <c r="E178" s="8">
        <v>0</v>
      </c>
      <c r="F178" s="9">
        <v>1</v>
      </c>
      <c r="G178" s="9">
        <f t="shared" si="6"/>
        <v>8.9589999999999996</v>
      </c>
      <c r="H178" s="9">
        <f t="shared" si="7"/>
        <v>-7.2444027149321855E-2</v>
      </c>
      <c r="I178" s="9">
        <f t="shared" si="8"/>
        <v>0</v>
      </c>
    </row>
    <row r="179" spans="1:9" x14ac:dyDescent="0.25">
      <c r="A179" s="6">
        <v>12</v>
      </c>
      <c r="B179" s="7">
        <v>35</v>
      </c>
      <c r="C179" s="7">
        <v>1</v>
      </c>
      <c r="D179" s="7">
        <v>1</v>
      </c>
      <c r="E179" s="8">
        <v>3</v>
      </c>
      <c r="F179" s="9">
        <v>0</v>
      </c>
      <c r="G179" s="9">
        <f t="shared" si="6"/>
        <v>7.6619999999999999</v>
      </c>
      <c r="H179" s="9">
        <f t="shared" si="7"/>
        <v>-1.3694440271493216</v>
      </c>
      <c r="I179" s="9">
        <f t="shared" si="8"/>
        <v>0</v>
      </c>
    </row>
    <row r="180" spans="1:9" x14ac:dyDescent="0.25">
      <c r="A180" s="6">
        <v>12</v>
      </c>
      <c r="B180" s="7">
        <v>35</v>
      </c>
      <c r="C180" s="7">
        <v>1</v>
      </c>
      <c r="D180" s="7">
        <v>0</v>
      </c>
      <c r="E180" s="8">
        <v>1</v>
      </c>
      <c r="F180" s="9">
        <v>0</v>
      </c>
      <c r="G180" s="9">
        <f t="shared" si="6"/>
        <v>7.6619999999999999</v>
      </c>
      <c r="H180" s="9">
        <f t="shared" si="7"/>
        <v>-1.3694440271493216</v>
      </c>
      <c r="I180" s="9">
        <f t="shared" si="8"/>
        <v>0</v>
      </c>
    </row>
    <row r="181" spans="1:9" x14ac:dyDescent="0.25">
      <c r="A181" s="6">
        <v>12</v>
      </c>
      <c r="B181" s="7">
        <v>35</v>
      </c>
      <c r="C181" s="7">
        <v>1</v>
      </c>
      <c r="D181" s="7">
        <v>2</v>
      </c>
      <c r="E181" s="8">
        <v>4</v>
      </c>
      <c r="F181" s="9">
        <v>0</v>
      </c>
      <c r="G181" s="9">
        <f t="shared" si="6"/>
        <v>7.6619999999999999</v>
      </c>
      <c r="H181" s="9">
        <f t="shared" si="7"/>
        <v>-1.3694440271493216</v>
      </c>
      <c r="I181" s="9">
        <f t="shared" si="8"/>
        <v>0</v>
      </c>
    </row>
    <row r="182" spans="1:9" x14ac:dyDescent="0.25">
      <c r="A182" s="6">
        <v>15</v>
      </c>
      <c r="B182" s="7">
        <v>35</v>
      </c>
      <c r="C182" s="7">
        <v>1</v>
      </c>
      <c r="D182" s="7">
        <v>0</v>
      </c>
      <c r="E182" s="8">
        <v>2</v>
      </c>
      <c r="F182" s="9">
        <v>1</v>
      </c>
      <c r="G182" s="9">
        <f t="shared" si="6"/>
        <v>8.8890000000000011</v>
      </c>
      <c r="H182" s="9">
        <f t="shared" si="7"/>
        <v>-0.14244402714932036</v>
      </c>
      <c r="I182" s="9">
        <f t="shared" si="8"/>
        <v>0</v>
      </c>
    </row>
    <row r="183" spans="1:9" x14ac:dyDescent="0.25">
      <c r="A183" s="6">
        <v>15</v>
      </c>
      <c r="B183" s="7">
        <v>35</v>
      </c>
      <c r="C183" s="7">
        <v>1</v>
      </c>
      <c r="D183" s="7">
        <v>0</v>
      </c>
      <c r="E183" s="8">
        <v>1</v>
      </c>
      <c r="F183" s="9">
        <v>1</v>
      </c>
      <c r="G183" s="9">
        <f t="shared" si="6"/>
        <v>8.8890000000000011</v>
      </c>
      <c r="H183" s="9">
        <f t="shared" si="7"/>
        <v>-0.14244402714932036</v>
      </c>
      <c r="I183" s="9">
        <f t="shared" si="8"/>
        <v>0</v>
      </c>
    </row>
    <row r="184" spans="1:9" x14ac:dyDescent="0.25">
      <c r="A184" s="6">
        <v>16</v>
      </c>
      <c r="B184" s="7">
        <v>35</v>
      </c>
      <c r="C184" s="7">
        <v>1</v>
      </c>
      <c r="D184" s="7">
        <v>2</v>
      </c>
      <c r="E184" s="8">
        <v>0</v>
      </c>
      <c r="F184" s="9">
        <v>1</v>
      </c>
      <c r="G184" s="9">
        <f t="shared" si="6"/>
        <v>9.298</v>
      </c>
      <c r="H184" s="9">
        <f t="shared" si="7"/>
        <v>0.26655597285067856</v>
      </c>
      <c r="I184" s="9">
        <f t="shared" si="8"/>
        <v>1</v>
      </c>
    </row>
    <row r="185" spans="1:9" x14ac:dyDescent="0.25">
      <c r="A185" s="6">
        <v>15</v>
      </c>
      <c r="B185" s="7">
        <v>35</v>
      </c>
      <c r="C185" s="7">
        <v>1</v>
      </c>
      <c r="D185" s="7">
        <v>0</v>
      </c>
      <c r="E185" s="8">
        <v>4</v>
      </c>
      <c r="F185" s="9">
        <v>1</v>
      </c>
      <c r="G185" s="9">
        <f t="shared" si="6"/>
        <v>8.8890000000000011</v>
      </c>
      <c r="H185" s="9">
        <f t="shared" si="7"/>
        <v>-0.14244402714932036</v>
      </c>
      <c r="I185" s="9">
        <f t="shared" si="8"/>
        <v>0</v>
      </c>
    </row>
    <row r="186" spans="1:9" x14ac:dyDescent="0.25">
      <c r="A186" s="6">
        <v>16</v>
      </c>
      <c r="B186" s="7">
        <v>35</v>
      </c>
      <c r="C186" s="7">
        <v>2</v>
      </c>
      <c r="D186" s="7">
        <v>0</v>
      </c>
      <c r="E186" s="8">
        <v>2</v>
      </c>
      <c r="F186" s="9">
        <v>1</v>
      </c>
      <c r="G186" s="9">
        <f t="shared" si="6"/>
        <v>9.6370000000000005</v>
      </c>
      <c r="H186" s="9">
        <f t="shared" si="7"/>
        <v>0.60555597285067897</v>
      </c>
      <c r="I186" s="9">
        <f t="shared" si="8"/>
        <v>1</v>
      </c>
    </row>
    <row r="187" spans="1:9" x14ac:dyDescent="0.25">
      <c r="A187" s="6">
        <v>16</v>
      </c>
      <c r="B187" s="7">
        <v>35</v>
      </c>
      <c r="C187" s="7">
        <v>2</v>
      </c>
      <c r="D187" s="7">
        <v>2</v>
      </c>
      <c r="E187" s="8">
        <v>0</v>
      </c>
      <c r="F187" s="9">
        <v>1</v>
      </c>
      <c r="G187" s="9">
        <f t="shared" si="6"/>
        <v>9.6370000000000005</v>
      </c>
      <c r="H187" s="9">
        <f t="shared" si="7"/>
        <v>0.60555597285067897</v>
      </c>
      <c r="I187" s="9">
        <f t="shared" si="8"/>
        <v>1</v>
      </c>
    </row>
    <row r="188" spans="1:9" x14ac:dyDescent="0.25">
      <c r="A188" s="6">
        <v>16</v>
      </c>
      <c r="B188" s="7">
        <v>35</v>
      </c>
      <c r="C188" s="7">
        <v>2</v>
      </c>
      <c r="D188" s="7">
        <v>1</v>
      </c>
      <c r="E188" s="8">
        <v>2</v>
      </c>
      <c r="F188" s="9">
        <v>1</v>
      </c>
      <c r="G188" s="9">
        <f t="shared" si="6"/>
        <v>9.6370000000000005</v>
      </c>
      <c r="H188" s="9">
        <f t="shared" si="7"/>
        <v>0.60555597285067897</v>
      </c>
      <c r="I188" s="9">
        <f t="shared" si="8"/>
        <v>1</v>
      </c>
    </row>
    <row r="189" spans="1:9" x14ac:dyDescent="0.25">
      <c r="A189" s="6">
        <v>12</v>
      </c>
      <c r="B189" s="7">
        <v>35</v>
      </c>
      <c r="C189" s="7">
        <v>2</v>
      </c>
      <c r="D189" s="7">
        <v>0</v>
      </c>
      <c r="E189" s="8">
        <v>1</v>
      </c>
      <c r="F189" s="9">
        <v>0</v>
      </c>
      <c r="G189" s="9">
        <f t="shared" si="6"/>
        <v>8.0009999999999994</v>
      </c>
      <c r="H189" s="9">
        <f t="shared" si="7"/>
        <v>-1.030444027149322</v>
      </c>
      <c r="I189" s="9">
        <f t="shared" si="8"/>
        <v>0</v>
      </c>
    </row>
    <row r="190" spans="1:9" x14ac:dyDescent="0.25">
      <c r="A190" s="6">
        <v>17</v>
      </c>
      <c r="B190" s="7">
        <v>35</v>
      </c>
      <c r="C190" s="7">
        <v>2</v>
      </c>
      <c r="D190" s="7">
        <v>0</v>
      </c>
      <c r="E190" s="8">
        <v>2</v>
      </c>
      <c r="F190" s="9">
        <v>1</v>
      </c>
      <c r="G190" s="9">
        <f t="shared" si="6"/>
        <v>10.045999999999999</v>
      </c>
      <c r="H190" s="9">
        <f t="shared" si="7"/>
        <v>1.0145559728506779</v>
      </c>
      <c r="I190" s="9">
        <f t="shared" si="8"/>
        <v>1</v>
      </c>
    </row>
    <row r="191" spans="1:9" x14ac:dyDescent="0.25">
      <c r="A191" s="6">
        <v>15</v>
      </c>
      <c r="B191" s="7">
        <v>35</v>
      </c>
      <c r="C191" s="7">
        <v>3</v>
      </c>
      <c r="D191" s="7">
        <v>3</v>
      </c>
      <c r="E191" s="8">
        <v>5</v>
      </c>
      <c r="F191" s="9">
        <v>1</v>
      </c>
      <c r="G191" s="9">
        <f t="shared" si="6"/>
        <v>9.5670000000000002</v>
      </c>
      <c r="H191" s="9">
        <f t="shared" si="7"/>
        <v>0.53555597285067869</v>
      </c>
      <c r="I191" s="9">
        <f t="shared" si="8"/>
        <v>1</v>
      </c>
    </row>
    <row r="192" spans="1:9" x14ac:dyDescent="0.25">
      <c r="A192" s="6">
        <v>12</v>
      </c>
      <c r="B192" s="7">
        <v>35</v>
      </c>
      <c r="C192" s="7">
        <v>3</v>
      </c>
      <c r="D192" s="7">
        <v>0</v>
      </c>
      <c r="E192" s="8">
        <v>2</v>
      </c>
      <c r="F192" s="9">
        <v>0</v>
      </c>
      <c r="G192" s="9">
        <f t="shared" si="6"/>
        <v>8.34</v>
      </c>
      <c r="H192" s="9">
        <f t="shared" si="7"/>
        <v>-0.69144402714932163</v>
      </c>
      <c r="I192" s="9">
        <f t="shared" si="8"/>
        <v>0</v>
      </c>
    </row>
    <row r="193" spans="1:9" x14ac:dyDescent="0.25">
      <c r="A193" s="6">
        <v>15</v>
      </c>
      <c r="B193" s="7">
        <v>35</v>
      </c>
      <c r="C193" s="7">
        <v>3</v>
      </c>
      <c r="D193" s="7">
        <v>3</v>
      </c>
      <c r="E193" s="8">
        <v>0</v>
      </c>
      <c r="F193" s="9">
        <v>1</v>
      </c>
      <c r="G193" s="9">
        <f t="shared" si="6"/>
        <v>9.5670000000000002</v>
      </c>
      <c r="H193" s="9">
        <f t="shared" si="7"/>
        <v>0.53555597285067869</v>
      </c>
      <c r="I193" s="9">
        <f t="shared" si="8"/>
        <v>1</v>
      </c>
    </row>
    <row r="194" spans="1:9" x14ac:dyDescent="0.25">
      <c r="A194" s="6">
        <v>16</v>
      </c>
      <c r="B194" s="7">
        <v>35</v>
      </c>
      <c r="C194" s="7">
        <v>4</v>
      </c>
      <c r="D194" s="7">
        <v>7</v>
      </c>
      <c r="E194" s="8">
        <v>3</v>
      </c>
      <c r="F194" s="9">
        <v>1</v>
      </c>
      <c r="G194" s="9">
        <f t="shared" ref="G194:G257" si="9">A194*$L$3+B194*$L$4+C194*$L$5</f>
        <v>10.315</v>
      </c>
      <c r="H194" s="9">
        <f t="shared" si="7"/>
        <v>1.283555972850678</v>
      </c>
      <c r="I194" s="9">
        <f t="shared" si="8"/>
        <v>1</v>
      </c>
    </row>
    <row r="195" spans="1:9" x14ac:dyDescent="0.25">
      <c r="A195" s="6">
        <v>12</v>
      </c>
      <c r="B195" s="7">
        <v>35</v>
      </c>
      <c r="C195" s="7">
        <v>5</v>
      </c>
      <c r="D195" s="7">
        <v>5</v>
      </c>
      <c r="E195" s="8">
        <v>0</v>
      </c>
      <c r="F195" s="9">
        <v>1</v>
      </c>
      <c r="G195" s="9">
        <f t="shared" si="9"/>
        <v>9.0179999999999989</v>
      </c>
      <c r="H195" s="9">
        <f t="shared" ref="H195:H258" si="10">G195-$L$11</f>
        <v>-1.3444027149322579E-2</v>
      </c>
      <c r="I195" s="9">
        <f t="shared" ref="I195:I258" si="11">IF(H195&lt;0,0,1)</f>
        <v>0</v>
      </c>
    </row>
    <row r="196" spans="1:9" x14ac:dyDescent="0.25">
      <c r="A196" s="6">
        <v>15</v>
      </c>
      <c r="B196" s="7">
        <v>36</v>
      </c>
      <c r="C196" s="7">
        <v>0</v>
      </c>
      <c r="D196" s="7">
        <v>6</v>
      </c>
      <c r="E196" s="8">
        <v>2</v>
      </c>
      <c r="F196" s="9">
        <v>1</v>
      </c>
      <c r="G196" s="9">
        <f t="shared" si="9"/>
        <v>8.6189999999999998</v>
      </c>
      <c r="H196" s="9">
        <f t="shared" si="10"/>
        <v>-0.41244402714932171</v>
      </c>
      <c r="I196" s="9">
        <f t="shared" si="11"/>
        <v>0</v>
      </c>
    </row>
    <row r="197" spans="1:9" x14ac:dyDescent="0.25">
      <c r="A197" s="6">
        <v>11</v>
      </c>
      <c r="B197" s="7">
        <v>36</v>
      </c>
      <c r="C197" s="7">
        <v>1</v>
      </c>
      <c r="D197" s="7">
        <v>2</v>
      </c>
      <c r="E197" s="8">
        <v>2</v>
      </c>
      <c r="F197" s="9">
        <v>0</v>
      </c>
      <c r="G197" s="9">
        <f t="shared" si="9"/>
        <v>7.3220000000000001</v>
      </c>
      <c r="H197" s="9">
        <f t="shared" si="10"/>
        <v>-1.7094440271493214</v>
      </c>
      <c r="I197" s="9">
        <f t="shared" si="11"/>
        <v>0</v>
      </c>
    </row>
    <row r="198" spans="1:9" x14ac:dyDescent="0.25">
      <c r="A198" s="6">
        <v>12</v>
      </c>
      <c r="B198" s="7">
        <v>36</v>
      </c>
      <c r="C198" s="7">
        <v>1</v>
      </c>
      <c r="D198" s="7">
        <v>4</v>
      </c>
      <c r="E198" s="8">
        <v>0</v>
      </c>
      <c r="F198" s="9">
        <v>0</v>
      </c>
      <c r="G198" s="9">
        <f t="shared" si="9"/>
        <v>7.7309999999999999</v>
      </c>
      <c r="H198" s="9">
        <f t="shared" si="10"/>
        <v>-1.3004440271493216</v>
      </c>
      <c r="I198" s="9">
        <f t="shared" si="11"/>
        <v>0</v>
      </c>
    </row>
    <row r="199" spans="1:9" x14ac:dyDescent="0.25">
      <c r="A199" s="6">
        <v>15</v>
      </c>
      <c r="B199" s="7">
        <v>36</v>
      </c>
      <c r="C199" s="7">
        <v>1</v>
      </c>
      <c r="D199" s="7">
        <v>3</v>
      </c>
      <c r="E199" s="8">
        <v>0</v>
      </c>
      <c r="F199" s="9">
        <v>1</v>
      </c>
      <c r="G199" s="9">
        <f t="shared" si="9"/>
        <v>8.9580000000000002</v>
      </c>
      <c r="H199" s="9">
        <f t="shared" si="10"/>
        <v>-7.34440271493213E-2</v>
      </c>
      <c r="I199" s="9">
        <f t="shared" si="11"/>
        <v>0</v>
      </c>
    </row>
    <row r="200" spans="1:9" x14ac:dyDescent="0.25">
      <c r="A200" s="6">
        <v>15</v>
      </c>
      <c r="B200" s="7">
        <v>36</v>
      </c>
      <c r="C200" s="7">
        <v>1</v>
      </c>
      <c r="D200" s="7">
        <v>0</v>
      </c>
      <c r="E200" s="8">
        <v>2</v>
      </c>
      <c r="F200" s="9">
        <v>1</v>
      </c>
      <c r="G200" s="9">
        <f t="shared" si="9"/>
        <v>8.9580000000000002</v>
      </c>
      <c r="H200" s="9">
        <f t="shared" si="10"/>
        <v>-7.34440271493213E-2</v>
      </c>
      <c r="I200" s="9">
        <f t="shared" si="11"/>
        <v>0</v>
      </c>
    </row>
    <row r="201" spans="1:9" x14ac:dyDescent="0.25">
      <c r="A201" s="6">
        <v>10</v>
      </c>
      <c r="B201" s="7">
        <v>36</v>
      </c>
      <c r="C201" s="7">
        <v>2</v>
      </c>
      <c r="D201" s="7">
        <v>2</v>
      </c>
      <c r="E201" s="8">
        <v>2</v>
      </c>
      <c r="F201" s="9">
        <v>0</v>
      </c>
      <c r="G201" s="9">
        <f t="shared" si="9"/>
        <v>7.2519999999999998</v>
      </c>
      <c r="H201" s="9">
        <f t="shared" si="10"/>
        <v>-1.7794440271493217</v>
      </c>
      <c r="I201" s="9">
        <f t="shared" si="11"/>
        <v>0</v>
      </c>
    </row>
    <row r="202" spans="1:9" x14ac:dyDescent="0.25">
      <c r="A202" s="6">
        <v>12</v>
      </c>
      <c r="B202" s="7">
        <v>36</v>
      </c>
      <c r="C202" s="7">
        <v>2</v>
      </c>
      <c r="D202" s="7">
        <v>0</v>
      </c>
      <c r="E202" s="8">
        <v>3</v>
      </c>
      <c r="F202" s="9">
        <v>0</v>
      </c>
      <c r="G202" s="9">
        <f t="shared" si="9"/>
        <v>8.07</v>
      </c>
      <c r="H202" s="9">
        <f t="shared" si="10"/>
        <v>-0.9614440271493212</v>
      </c>
      <c r="I202" s="9">
        <f t="shared" si="11"/>
        <v>0</v>
      </c>
    </row>
    <row r="203" spans="1:9" x14ac:dyDescent="0.25">
      <c r="A203" s="6">
        <v>16</v>
      </c>
      <c r="B203" s="7">
        <v>36</v>
      </c>
      <c r="C203" s="7">
        <v>2</v>
      </c>
      <c r="D203" s="7">
        <v>2</v>
      </c>
      <c r="E203" s="8">
        <v>2</v>
      </c>
      <c r="F203" s="9">
        <v>1</v>
      </c>
      <c r="G203" s="9">
        <f t="shared" si="9"/>
        <v>9.7059999999999995</v>
      </c>
      <c r="H203" s="9">
        <f t="shared" si="10"/>
        <v>0.67455597285067803</v>
      </c>
      <c r="I203" s="9">
        <f t="shared" si="11"/>
        <v>1</v>
      </c>
    </row>
    <row r="204" spans="1:9" x14ac:dyDescent="0.25">
      <c r="A204" s="6">
        <v>15</v>
      </c>
      <c r="B204" s="7">
        <v>36</v>
      </c>
      <c r="C204" s="7">
        <v>3</v>
      </c>
      <c r="D204" s="7">
        <v>1</v>
      </c>
      <c r="E204" s="8">
        <v>2</v>
      </c>
      <c r="F204" s="9">
        <v>1</v>
      </c>
      <c r="G204" s="9">
        <f t="shared" si="9"/>
        <v>9.6359999999999992</v>
      </c>
      <c r="H204" s="9">
        <f t="shared" si="10"/>
        <v>0.60455597285067775</v>
      </c>
      <c r="I204" s="9">
        <f t="shared" si="11"/>
        <v>1</v>
      </c>
    </row>
    <row r="205" spans="1:9" x14ac:dyDescent="0.25">
      <c r="A205" s="6">
        <v>15</v>
      </c>
      <c r="B205" s="7">
        <v>36</v>
      </c>
      <c r="C205" s="7">
        <v>3</v>
      </c>
      <c r="D205" s="7">
        <v>0</v>
      </c>
      <c r="E205" s="8">
        <v>1</v>
      </c>
      <c r="F205" s="9">
        <v>1</v>
      </c>
      <c r="G205" s="9">
        <f t="shared" si="9"/>
        <v>9.6359999999999992</v>
      </c>
      <c r="H205" s="9">
        <f t="shared" si="10"/>
        <v>0.60455597285067775</v>
      </c>
      <c r="I205" s="9">
        <f t="shared" si="11"/>
        <v>1</v>
      </c>
    </row>
    <row r="206" spans="1:9" x14ac:dyDescent="0.25">
      <c r="A206" s="6">
        <v>15</v>
      </c>
      <c r="B206" s="7">
        <v>36</v>
      </c>
      <c r="C206" s="7">
        <v>4</v>
      </c>
      <c r="D206" s="7">
        <v>0</v>
      </c>
      <c r="E206" s="8">
        <v>1</v>
      </c>
      <c r="F206" s="9">
        <v>1</v>
      </c>
      <c r="G206" s="9">
        <f t="shared" si="9"/>
        <v>9.9749999999999996</v>
      </c>
      <c r="H206" s="9">
        <f t="shared" si="10"/>
        <v>0.94355597285067816</v>
      </c>
      <c r="I206" s="9">
        <f t="shared" si="11"/>
        <v>1</v>
      </c>
    </row>
    <row r="207" spans="1:9" x14ac:dyDescent="0.25">
      <c r="A207" s="6">
        <v>16</v>
      </c>
      <c r="B207" s="7">
        <v>36</v>
      </c>
      <c r="C207" s="7">
        <v>4</v>
      </c>
      <c r="D207" s="7">
        <v>1</v>
      </c>
      <c r="E207" s="8">
        <v>0</v>
      </c>
      <c r="F207" s="9">
        <v>1</v>
      </c>
      <c r="G207" s="9">
        <f t="shared" si="9"/>
        <v>10.383999999999999</v>
      </c>
      <c r="H207" s="9">
        <f t="shared" si="10"/>
        <v>1.3525559728506771</v>
      </c>
      <c r="I207" s="9">
        <f t="shared" si="11"/>
        <v>1</v>
      </c>
    </row>
    <row r="208" spans="1:9" x14ac:dyDescent="0.25">
      <c r="A208" s="6">
        <v>12</v>
      </c>
      <c r="B208" s="7">
        <v>37</v>
      </c>
      <c r="C208" s="7">
        <v>0</v>
      </c>
      <c r="D208" s="7">
        <v>3</v>
      </c>
      <c r="E208" s="8">
        <v>0</v>
      </c>
      <c r="F208" s="9">
        <v>0</v>
      </c>
      <c r="G208" s="9">
        <f t="shared" si="9"/>
        <v>7.4610000000000003</v>
      </c>
      <c r="H208" s="9">
        <f t="shared" si="10"/>
        <v>-1.5704440271493212</v>
      </c>
      <c r="I208" s="9">
        <f t="shared" si="11"/>
        <v>0</v>
      </c>
    </row>
    <row r="209" spans="1:9" x14ac:dyDescent="0.25">
      <c r="A209" s="6">
        <v>16</v>
      </c>
      <c r="B209" s="7">
        <v>37</v>
      </c>
      <c r="C209" s="7">
        <v>0</v>
      </c>
      <c r="D209" s="7">
        <v>2</v>
      </c>
      <c r="E209" s="8">
        <v>2</v>
      </c>
      <c r="F209" s="9">
        <v>1</v>
      </c>
      <c r="G209" s="9">
        <f t="shared" si="9"/>
        <v>9.0969999999999995</v>
      </c>
      <c r="H209" s="9">
        <f t="shared" si="10"/>
        <v>6.5555972850678046E-2</v>
      </c>
      <c r="I209" s="9">
        <f t="shared" si="11"/>
        <v>1</v>
      </c>
    </row>
    <row r="210" spans="1:9" x14ac:dyDescent="0.25">
      <c r="A210" s="6">
        <v>15</v>
      </c>
      <c r="B210" s="7">
        <v>37</v>
      </c>
      <c r="C210" s="7">
        <v>1</v>
      </c>
      <c r="D210" s="7">
        <v>1</v>
      </c>
      <c r="E210" s="8">
        <v>3</v>
      </c>
      <c r="F210" s="9">
        <v>0</v>
      </c>
      <c r="G210" s="9">
        <f t="shared" si="9"/>
        <v>9.027000000000001</v>
      </c>
      <c r="H210" s="9">
        <f t="shared" si="10"/>
        <v>-4.4440271493204619E-3</v>
      </c>
      <c r="I210" s="9">
        <f t="shared" si="11"/>
        <v>0</v>
      </c>
    </row>
    <row r="211" spans="1:9" x14ac:dyDescent="0.25">
      <c r="A211" s="6">
        <v>16</v>
      </c>
      <c r="B211" s="7">
        <v>37</v>
      </c>
      <c r="C211" s="7">
        <v>1</v>
      </c>
      <c r="D211" s="7">
        <v>3</v>
      </c>
      <c r="E211" s="8">
        <v>0</v>
      </c>
      <c r="F211" s="9">
        <v>1</v>
      </c>
      <c r="G211" s="9">
        <f t="shared" si="9"/>
        <v>9.4359999999999999</v>
      </c>
      <c r="H211" s="9">
        <f t="shared" si="10"/>
        <v>0.40455597285067846</v>
      </c>
      <c r="I211" s="9">
        <f t="shared" si="11"/>
        <v>1</v>
      </c>
    </row>
    <row r="212" spans="1:9" x14ac:dyDescent="0.25">
      <c r="A212" s="6">
        <v>15</v>
      </c>
      <c r="B212" s="7">
        <v>37</v>
      </c>
      <c r="C212" s="7">
        <v>2</v>
      </c>
      <c r="D212" s="7">
        <v>2</v>
      </c>
      <c r="E212" s="8">
        <v>1</v>
      </c>
      <c r="F212" s="9">
        <v>1</v>
      </c>
      <c r="G212" s="9">
        <f t="shared" si="9"/>
        <v>9.3660000000000014</v>
      </c>
      <c r="H212" s="9">
        <f t="shared" si="10"/>
        <v>0.33455597285067995</v>
      </c>
      <c r="I212" s="9">
        <f t="shared" si="11"/>
        <v>1</v>
      </c>
    </row>
    <row r="213" spans="1:9" x14ac:dyDescent="0.25">
      <c r="A213" s="6">
        <v>16</v>
      </c>
      <c r="B213" s="7">
        <v>37</v>
      </c>
      <c r="C213" s="7">
        <v>2</v>
      </c>
      <c r="D213" s="7">
        <v>2</v>
      </c>
      <c r="E213" s="8">
        <v>0</v>
      </c>
      <c r="F213" s="9">
        <v>1</v>
      </c>
      <c r="G213" s="9">
        <f t="shared" si="9"/>
        <v>9.7750000000000004</v>
      </c>
      <c r="H213" s="9">
        <f t="shared" si="10"/>
        <v>0.74355597285067887</v>
      </c>
      <c r="I213" s="9">
        <f t="shared" si="11"/>
        <v>1</v>
      </c>
    </row>
    <row r="214" spans="1:9" x14ac:dyDescent="0.25">
      <c r="A214" s="6">
        <v>16</v>
      </c>
      <c r="B214" s="7">
        <v>37</v>
      </c>
      <c r="C214" s="7">
        <v>2</v>
      </c>
      <c r="D214" s="7">
        <v>2</v>
      </c>
      <c r="E214" s="8">
        <v>0</v>
      </c>
      <c r="F214" s="9">
        <v>1</v>
      </c>
      <c r="G214" s="9">
        <f t="shared" si="9"/>
        <v>9.7750000000000004</v>
      </c>
      <c r="H214" s="9">
        <f t="shared" si="10"/>
        <v>0.74355597285067887</v>
      </c>
      <c r="I214" s="9">
        <f t="shared" si="11"/>
        <v>1</v>
      </c>
    </row>
    <row r="215" spans="1:9" x14ac:dyDescent="0.25">
      <c r="A215" s="6">
        <v>13</v>
      </c>
      <c r="B215" s="7">
        <v>37</v>
      </c>
      <c r="C215" s="7">
        <v>3</v>
      </c>
      <c r="D215" s="7">
        <v>0</v>
      </c>
      <c r="E215" s="8">
        <v>2</v>
      </c>
      <c r="F215" s="9">
        <v>0</v>
      </c>
      <c r="G215" s="9">
        <f t="shared" si="9"/>
        <v>8.8869999999999987</v>
      </c>
      <c r="H215" s="9">
        <f t="shared" si="10"/>
        <v>-0.14444402714932281</v>
      </c>
      <c r="I215" s="9">
        <f t="shared" si="11"/>
        <v>0</v>
      </c>
    </row>
    <row r="216" spans="1:9" x14ac:dyDescent="0.25">
      <c r="A216" s="6">
        <v>13</v>
      </c>
      <c r="B216" s="7">
        <v>37</v>
      </c>
      <c r="C216" s="7">
        <v>3</v>
      </c>
      <c r="D216" s="7">
        <v>2</v>
      </c>
      <c r="E216" s="8">
        <v>0</v>
      </c>
      <c r="F216" s="9">
        <v>0</v>
      </c>
      <c r="G216" s="9">
        <f t="shared" si="9"/>
        <v>8.8869999999999987</v>
      </c>
      <c r="H216" s="9">
        <f t="shared" si="10"/>
        <v>-0.14444402714932281</v>
      </c>
      <c r="I216" s="9">
        <f t="shared" si="11"/>
        <v>0</v>
      </c>
    </row>
    <row r="217" spans="1:9" x14ac:dyDescent="0.25">
      <c r="A217" s="6">
        <v>13</v>
      </c>
      <c r="B217" s="7">
        <v>37</v>
      </c>
      <c r="C217" s="7">
        <v>3</v>
      </c>
      <c r="D217" s="7">
        <v>0</v>
      </c>
      <c r="E217" s="8">
        <v>2</v>
      </c>
      <c r="F217" s="9">
        <v>0</v>
      </c>
      <c r="G217" s="9">
        <f t="shared" si="9"/>
        <v>8.8869999999999987</v>
      </c>
      <c r="H217" s="9">
        <f t="shared" si="10"/>
        <v>-0.14444402714932281</v>
      </c>
      <c r="I217" s="9">
        <f t="shared" si="11"/>
        <v>0</v>
      </c>
    </row>
    <row r="218" spans="1:9" x14ac:dyDescent="0.25">
      <c r="A218" s="6">
        <v>12</v>
      </c>
      <c r="B218" s="7">
        <v>37</v>
      </c>
      <c r="C218" s="7">
        <v>3</v>
      </c>
      <c r="D218" s="7">
        <v>1</v>
      </c>
      <c r="E218" s="8">
        <v>8</v>
      </c>
      <c r="F218" s="9">
        <v>0</v>
      </c>
      <c r="G218" s="9">
        <f t="shared" si="9"/>
        <v>8.4779999999999998</v>
      </c>
      <c r="H218" s="9">
        <f t="shared" si="10"/>
        <v>-0.55344402714932173</v>
      </c>
      <c r="I218" s="9">
        <f t="shared" si="11"/>
        <v>0</v>
      </c>
    </row>
    <row r="219" spans="1:9" x14ac:dyDescent="0.25">
      <c r="A219" s="6">
        <v>12</v>
      </c>
      <c r="B219" s="7">
        <v>37</v>
      </c>
      <c r="C219" s="7">
        <v>4</v>
      </c>
      <c r="D219" s="7">
        <v>0</v>
      </c>
      <c r="E219" s="8">
        <v>2</v>
      </c>
      <c r="F219" s="9">
        <v>1</v>
      </c>
      <c r="G219" s="9">
        <f t="shared" si="9"/>
        <v>8.8170000000000002</v>
      </c>
      <c r="H219" s="9">
        <f t="shared" si="10"/>
        <v>-0.21444402714932131</v>
      </c>
      <c r="I219" s="9">
        <f t="shared" si="11"/>
        <v>0</v>
      </c>
    </row>
    <row r="220" spans="1:9" x14ac:dyDescent="0.25">
      <c r="A220" s="6">
        <v>12</v>
      </c>
      <c r="B220" s="7">
        <v>38</v>
      </c>
      <c r="C220" s="7">
        <v>1</v>
      </c>
      <c r="D220" s="7">
        <v>3</v>
      </c>
      <c r="E220" s="8">
        <v>2</v>
      </c>
      <c r="F220" s="9">
        <v>0</v>
      </c>
      <c r="G220" s="9">
        <f t="shared" si="9"/>
        <v>7.8689999999999998</v>
      </c>
      <c r="H220" s="9">
        <f t="shared" si="10"/>
        <v>-1.1624440271493217</v>
      </c>
      <c r="I220" s="9">
        <f t="shared" si="11"/>
        <v>0</v>
      </c>
    </row>
    <row r="221" spans="1:9" x14ac:dyDescent="0.25">
      <c r="A221" s="6">
        <v>15</v>
      </c>
      <c r="B221" s="7">
        <v>38</v>
      </c>
      <c r="C221" s="7">
        <v>1</v>
      </c>
      <c r="D221" s="7">
        <v>2</v>
      </c>
      <c r="E221" s="8">
        <v>3</v>
      </c>
      <c r="F221" s="9">
        <v>1</v>
      </c>
      <c r="G221" s="9">
        <f t="shared" si="9"/>
        <v>9.0960000000000001</v>
      </c>
      <c r="H221" s="9">
        <f t="shared" si="10"/>
        <v>6.45559728506786E-2</v>
      </c>
      <c r="I221" s="9">
        <f t="shared" si="11"/>
        <v>1</v>
      </c>
    </row>
    <row r="222" spans="1:9" x14ac:dyDescent="0.25">
      <c r="A222" s="6">
        <v>15</v>
      </c>
      <c r="B222" s="7">
        <v>38</v>
      </c>
      <c r="C222" s="7">
        <v>1</v>
      </c>
      <c r="D222" s="7">
        <v>2</v>
      </c>
      <c r="E222" s="8">
        <v>1</v>
      </c>
      <c r="F222" s="9">
        <v>1</v>
      </c>
      <c r="G222" s="9">
        <f t="shared" si="9"/>
        <v>9.0960000000000001</v>
      </c>
      <c r="H222" s="9">
        <f t="shared" si="10"/>
        <v>6.45559728506786E-2</v>
      </c>
      <c r="I222" s="9">
        <f t="shared" si="11"/>
        <v>1</v>
      </c>
    </row>
    <row r="223" spans="1:9" x14ac:dyDescent="0.25">
      <c r="A223" s="6">
        <v>17</v>
      </c>
      <c r="B223" s="7">
        <v>38</v>
      </c>
      <c r="C223" s="7">
        <v>1</v>
      </c>
      <c r="D223" s="7">
        <v>3</v>
      </c>
      <c r="E223" s="8">
        <v>2</v>
      </c>
      <c r="F223" s="9">
        <v>1</v>
      </c>
      <c r="G223" s="9">
        <f t="shared" si="9"/>
        <v>9.9139999999999997</v>
      </c>
      <c r="H223" s="9">
        <f t="shared" si="10"/>
        <v>0.88255597285067822</v>
      </c>
      <c r="I223" s="9">
        <f t="shared" si="11"/>
        <v>1</v>
      </c>
    </row>
    <row r="224" spans="1:9" x14ac:dyDescent="0.25">
      <c r="A224" s="6">
        <v>16</v>
      </c>
      <c r="B224" s="7">
        <v>38</v>
      </c>
      <c r="C224" s="7">
        <v>1</v>
      </c>
      <c r="D224" s="7">
        <v>3</v>
      </c>
      <c r="E224" s="8">
        <v>1</v>
      </c>
      <c r="F224" s="9">
        <v>1</v>
      </c>
      <c r="G224" s="9">
        <f t="shared" si="9"/>
        <v>9.5050000000000008</v>
      </c>
      <c r="H224" s="9">
        <f t="shared" si="10"/>
        <v>0.4735559728506793</v>
      </c>
      <c r="I224" s="9">
        <f t="shared" si="11"/>
        <v>1</v>
      </c>
    </row>
    <row r="225" spans="1:9" x14ac:dyDescent="0.25">
      <c r="A225" s="6">
        <v>15</v>
      </c>
      <c r="B225" s="7">
        <v>38</v>
      </c>
      <c r="C225" s="7">
        <v>2</v>
      </c>
      <c r="D225" s="7">
        <v>2</v>
      </c>
      <c r="E225" s="8">
        <v>0</v>
      </c>
      <c r="F225" s="9">
        <v>1</v>
      </c>
      <c r="G225" s="9">
        <f t="shared" si="9"/>
        <v>9.4350000000000005</v>
      </c>
      <c r="H225" s="9">
        <f t="shared" si="10"/>
        <v>0.40355597285067901</v>
      </c>
      <c r="I225" s="9">
        <f t="shared" si="11"/>
        <v>1</v>
      </c>
    </row>
    <row r="226" spans="1:9" x14ac:dyDescent="0.25">
      <c r="A226" s="6">
        <v>15</v>
      </c>
      <c r="B226" s="7">
        <v>38</v>
      </c>
      <c r="C226" s="7">
        <v>2</v>
      </c>
      <c r="D226" s="7">
        <v>0</v>
      </c>
      <c r="E226" s="8">
        <v>3</v>
      </c>
      <c r="F226" s="9">
        <v>1</v>
      </c>
      <c r="G226" s="9">
        <f t="shared" si="9"/>
        <v>9.4350000000000005</v>
      </c>
      <c r="H226" s="9">
        <f t="shared" si="10"/>
        <v>0.40355597285067901</v>
      </c>
      <c r="I226" s="9">
        <f t="shared" si="11"/>
        <v>1</v>
      </c>
    </row>
    <row r="227" spans="1:9" x14ac:dyDescent="0.25">
      <c r="A227" s="6">
        <v>16</v>
      </c>
      <c r="B227" s="7">
        <v>38</v>
      </c>
      <c r="C227" s="7">
        <v>2</v>
      </c>
      <c r="D227" s="7">
        <v>1</v>
      </c>
      <c r="E227" s="8">
        <v>0</v>
      </c>
      <c r="F227" s="9">
        <v>1</v>
      </c>
      <c r="G227" s="9">
        <f t="shared" si="9"/>
        <v>9.8440000000000012</v>
      </c>
      <c r="H227" s="9">
        <f t="shared" si="10"/>
        <v>0.81255597285067971</v>
      </c>
      <c r="I227" s="9">
        <f t="shared" si="11"/>
        <v>1</v>
      </c>
    </row>
    <row r="228" spans="1:9" x14ac:dyDescent="0.25">
      <c r="A228" s="6">
        <v>13</v>
      </c>
      <c r="B228" s="7">
        <v>38</v>
      </c>
      <c r="C228" s="7">
        <v>3</v>
      </c>
      <c r="D228" s="7">
        <v>2</v>
      </c>
      <c r="E228" s="8">
        <v>4</v>
      </c>
      <c r="F228" s="9">
        <v>0</v>
      </c>
      <c r="G228" s="9">
        <f t="shared" si="9"/>
        <v>8.9559999999999995</v>
      </c>
      <c r="H228" s="9">
        <f t="shared" si="10"/>
        <v>-7.5444027149321968E-2</v>
      </c>
      <c r="I228" s="9">
        <f t="shared" si="11"/>
        <v>0</v>
      </c>
    </row>
    <row r="229" spans="1:9" x14ac:dyDescent="0.25">
      <c r="A229" s="6">
        <v>12</v>
      </c>
      <c r="B229" s="7">
        <v>38</v>
      </c>
      <c r="C229" s="7">
        <v>3</v>
      </c>
      <c r="D229" s="7">
        <v>2</v>
      </c>
      <c r="E229" s="8">
        <v>3</v>
      </c>
      <c r="F229" s="9">
        <v>0</v>
      </c>
      <c r="G229" s="9">
        <f t="shared" si="9"/>
        <v>8.5469999999999988</v>
      </c>
      <c r="H229" s="9">
        <f t="shared" si="10"/>
        <v>-0.48444402714932266</v>
      </c>
      <c r="I229" s="9">
        <f t="shared" si="11"/>
        <v>0</v>
      </c>
    </row>
    <row r="230" spans="1:9" x14ac:dyDescent="0.25">
      <c r="A230" s="6">
        <v>12</v>
      </c>
      <c r="B230" s="7">
        <v>38</v>
      </c>
      <c r="C230" s="7">
        <v>4</v>
      </c>
      <c r="D230" s="7">
        <v>2</v>
      </c>
      <c r="E230" s="8">
        <v>3</v>
      </c>
      <c r="F230" s="9">
        <v>1</v>
      </c>
      <c r="G230" s="9">
        <f t="shared" si="9"/>
        <v>8.8859999999999992</v>
      </c>
      <c r="H230" s="9">
        <f t="shared" si="10"/>
        <v>-0.14544402714932225</v>
      </c>
      <c r="I230" s="9">
        <f t="shared" si="11"/>
        <v>0</v>
      </c>
    </row>
    <row r="231" spans="1:9" x14ac:dyDescent="0.25">
      <c r="A231" s="6">
        <v>13</v>
      </c>
      <c r="B231" s="7">
        <v>39</v>
      </c>
      <c r="C231" s="7">
        <v>1</v>
      </c>
      <c r="D231" s="7">
        <v>1</v>
      </c>
      <c r="E231" s="8">
        <v>2</v>
      </c>
      <c r="F231" s="9">
        <v>0</v>
      </c>
      <c r="G231" s="9">
        <f t="shared" si="9"/>
        <v>8.3469999999999995</v>
      </c>
      <c r="H231" s="9">
        <f t="shared" si="10"/>
        <v>-0.68444402714932195</v>
      </c>
      <c r="I231" s="9">
        <f t="shared" si="11"/>
        <v>0</v>
      </c>
    </row>
    <row r="232" spans="1:9" x14ac:dyDescent="0.25">
      <c r="A232" s="6">
        <v>13</v>
      </c>
      <c r="B232" s="7">
        <v>39</v>
      </c>
      <c r="C232" s="7">
        <v>1</v>
      </c>
      <c r="D232" s="7">
        <v>3</v>
      </c>
      <c r="E232" s="8">
        <v>3</v>
      </c>
      <c r="F232" s="9">
        <v>0</v>
      </c>
      <c r="G232" s="9">
        <f t="shared" si="9"/>
        <v>8.3469999999999995</v>
      </c>
      <c r="H232" s="9">
        <f t="shared" si="10"/>
        <v>-0.68444402714932195</v>
      </c>
      <c r="I232" s="9">
        <f t="shared" si="11"/>
        <v>0</v>
      </c>
    </row>
    <row r="233" spans="1:9" x14ac:dyDescent="0.25">
      <c r="A233" s="6">
        <v>16</v>
      </c>
      <c r="B233" s="7">
        <v>39</v>
      </c>
      <c r="C233" s="7">
        <v>1</v>
      </c>
      <c r="D233" s="7">
        <v>5</v>
      </c>
      <c r="E233" s="8">
        <v>2</v>
      </c>
      <c r="F233" s="9">
        <v>1</v>
      </c>
      <c r="G233" s="9">
        <f t="shared" si="9"/>
        <v>9.5739999999999998</v>
      </c>
      <c r="H233" s="9">
        <f t="shared" si="10"/>
        <v>0.54255597285067836</v>
      </c>
      <c r="I233" s="9">
        <f t="shared" si="11"/>
        <v>1</v>
      </c>
    </row>
    <row r="234" spans="1:9" x14ac:dyDescent="0.25">
      <c r="A234" s="6">
        <v>16</v>
      </c>
      <c r="B234" s="7">
        <v>39</v>
      </c>
      <c r="C234" s="7">
        <v>1</v>
      </c>
      <c r="D234" s="7">
        <v>0</v>
      </c>
      <c r="E234" s="8">
        <v>2</v>
      </c>
      <c r="F234" s="9">
        <v>1</v>
      </c>
      <c r="G234" s="9">
        <f t="shared" si="9"/>
        <v>9.5739999999999998</v>
      </c>
      <c r="H234" s="9">
        <f t="shared" si="10"/>
        <v>0.54255597285067836</v>
      </c>
      <c r="I234" s="9">
        <f t="shared" si="11"/>
        <v>1</v>
      </c>
    </row>
    <row r="235" spans="1:9" x14ac:dyDescent="0.25">
      <c r="A235" s="6">
        <v>16</v>
      </c>
      <c r="B235" s="7">
        <v>39</v>
      </c>
      <c r="C235" s="7">
        <v>1</v>
      </c>
      <c r="D235" s="7">
        <v>8</v>
      </c>
      <c r="E235" s="8">
        <v>2</v>
      </c>
      <c r="F235" s="9">
        <v>1</v>
      </c>
      <c r="G235" s="9">
        <f t="shared" si="9"/>
        <v>9.5739999999999998</v>
      </c>
      <c r="H235" s="9">
        <f t="shared" si="10"/>
        <v>0.54255597285067836</v>
      </c>
      <c r="I235" s="9">
        <f t="shared" si="11"/>
        <v>1</v>
      </c>
    </row>
    <row r="236" spans="1:9" x14ac:dyDescent="0.25">
      <c r="A236" s="6">
        <v>13</v>
      </c>
      <c r="B236" s="7">
        <v>39</v>
      </c>
      <c r="C236" s="7">
        <v>1</v>
      </c>
      <c r="D236" s="7">
        <v>2</v>
      </c>
      <c r="E236" s="8">
        <v>4</v>
      </c>
      <c r="F236" s="9">
        <v>0</v>
      </c>
      <c r="G236" s="9">
        <f t="shared" si="9"/>
        <v>8.3469999999999995</v>
      </c>
      <c r="H236" s="9">
        <f t="shared" si="10"/>
        <v>-0.68444402714932195</v>
      </c>
      <c r="I236" s="9">
        <f t="shared" si="11"/>
        <v>0</v>
      </c>
    </row>
    <row r="237" spans="1:9" x14ac:dyDescent="0.25">
      <c r="A237" s="6">
        <v>13</v>
      </c>
      <c r="B237" s="7">
        <v>39</v>
      </c>
      <c r="C237" s="7">
        <v>2</v>
      </c>
      <c r="D237" s="7">
        <v>3</v>
      </c>
      <c r="E237" s="8">
        <v>2</v>
      </c>
      <c r="F237" s="9">
        <v>0</v>
      </c>
      <c r="G237" s="9">
        <f t="shared" si="9"/>
        <v>8.6859999999999999</v>
      </c>
      <c r="H237" s="9">
        <f t="shared" si="10"/>
        <v>-0.34544402714932154</v>
      </c>
      <c r="I237" s="9">
        <f t="shared" si="11"/>
        <v>0</v>
      </c>
    </row>
    <row r="238" spans="1:9" x14ac:dyDescent="0.25">
      <c r="A238" s="6">
        <v>11</v>
      </c>
      <c r="B238" s="7">
        <v>39</v>
      </c>
      <c r="C238" s="7">
        <v>3</v>
      </c>
      <c r="D238" s="7">
        <v>4</v>
      </c>
      <c r="E238" s="8">
        <v>2</v>
      </c>
      <c r="F238" s="9">
        <v>0</v>
      </c>
      <c r="G238" s="9">
        <f t="shared" si="9"/>
        <v>8.206999999999999</v>
      </c>
      <c r="H238" s="9">
        <f t="shared" si="10"/>
        <v>-0.82444402714932252</v>
      </c>
      <c r="I238" s="9">
        <f t="shared" si="11"/>
        <v>0</v>
      </c>
    </row>
    <row r="239" spans="1:9" x14ac:dyDescent="0.25">
      <c r="A239" s="6">
        <v>16</v>
      </c>
      <c r="B239" s="7">
        <v>39</v>
      </c>
      <c r="C239" s="7">
        <v>3</v>
      </c>
      <c r="D239" s="7">
        <v>1</v>
      </c>
      <c r="E239" s="8">
        <v>2</v>
      </c>
      <c r="F239" s="9">
        <v>1</v>
      </c>
      <c r="G239" s="9">
        <f t="shared" si="9"/>
        <v>10.251999999999999</v>
      </c>
      <c r="H239" s="9">
        <f t="shared" si="10"/>
        <v>1.2205559728506774</v>
      </c>
      <c r="I239" s="9">
        <f t="shared" si="11"/>
        <v>1</v>
      </c>
    </row>
    <row r="240" spans="1:9" x14ac:dyDescent="0.25">
      <c r="A240" s="6">
        <v>16</v>
      </c>
      <c r="B240" s="7">
        <v>39</v>
      </c>
      <c r="C240" s="7">
        <v>3</v>
      </c>
      <c r="D240" s="7">
        <v>0</v>
      </c>
      <c r="E240" s="8">
        <v>0</v>
      </c>
      <c r="F240" s="9">
        <v>1</v>
      </c>
      <c r="G240" s="9">
        <f t="shared" si="9"/>
        <v>10.251999999999999</v>
      </c>
      <c r="H240" s="9">
        <f t="shared" si="10"/>
        <v>1.2205559728506774</v>
      </c>
      <c r="I240" s="9">
        <f t="shared" si="11"/>
        <v>1</v>
      </c>
    </row>
    <row r="241" spans="1:9" x14ac:dyDescent="0.25">
      <c r="A241" s="6">
        <v>13</v>
      </c>
      <c r="B241" s="7">
        <v>39</v>
      </c>
      <c r="C241" s="7">
        <v>3</v>
      </c>
      <c r="D241" s="7">
        <v>0</v>
      </c>
      <c r="E241" s="8">
        <v>2</v>
      </c>
      <c r="F241" s="9">
        <v>0</v>
      </c>
      <c r="G241" s="9">
        <f t="shared" si="9"/>
        <v>9.0249999999999986</v>
      </c>
      <c r="H241" s="9">
        <f t="shared" si="10"/>
        <v>-6.4440271493229062E-3</v>
      </c>
      <c r="I241" s="9">
        <f t="shared" si="11"/>
        <v>0</v>
      </c>
    </row>
    <row r="242" spans="1:9" x14ac:dyDescent="0.25">
      <c r="A242" s="6">
        <v>15</v>
      </c>
      <c r="B242" s="7">
        <v>39</v>
      </c>
      <c r="C242" s="7">
        <v>5</v>
      </c>
      <c r="D242" s="7">
        <v>0</v>
      </c>
      <c r="E242" s="8">
        <v>2</v>
      </c>
      <c r="F242" s="9">
        <v>1</v>
      </c>
      <c r="G242" s="9">
        <f t="shared" si="9"/>
        <v>10.521000000000001</v>
      </c>
      <c r="H242" s="9">
        <f t="shared" si="10"/>
        <v>1.4895559728506793</v>
      </c>
      <c r="I242" s="9">
        <f t="shared" si="11"/>
        <v>1</v>
      </c>
    </row>
    <row r="243" spans="1:9" x14ac:dyDescent="0.25">
      <c r="A243" s="6">
        <v>13</v>
      </c>
      <c r="B243" s="7">
        <v>40</v>
      </c>
      <c r="C243" s="7">
        <v>1</v>
      </c>
      <c r="D243" s="7">
        <v>2</v>
      </c>
      <c r="E243" s="8">
        <v>3</v>
      </c>
      <c r="F243" s="9">
        <v>0</v>
      </c>
      <c r="G243" s="9">
        <f t="shared" si="9"/>
        <v>8.4160000000000004</v>
      </c>
      <c r="H243" s="9">
        <f t="shared" si="10"/>
        <v>-0.61544402714932112</v>
      </c>
      <c r="I243" s="9">
        <f t="shared" si="11"/>
        <v>0</v>
      </c>
    </row>
    <row r="244" spans="1:9" x14ac:dyDescent="0.25">
      <c r="A244" s="6">
        <v>17</v>
      </c>
      <c r="B244" s="7">
        <v>40</v>
      </c>
      <c r="C244" s="7">
        <v>1</v>
      </c>
      <c r="D244" s="7">
        <v>0</v>
      </c>
      <c r="E244" s="8">
        <v>2</v>
      </c>
      <c r="F244" s="9">
        <v>0</v>
      </c>
      <c r="G244" s="9">
        <f t="shared" si="9"/>
        <v>10.052</v>
      </c>
      <c r="H244" s="9">
        <f t="shared" si="10"/>
        <v>1.0205559728506781</v>
      </c>
      <c r="I244" s="9">
        <f t="shared" si="11"/>
        <v>1</v>
      </c>
    </row>
    <row r="245" spans="1:9" x14ac:dyDescent="0.25">
      <c r="A245" s="6">
        <v>13</v>
      </c>
      <c r="B245" s="7">
        <v>40</v>
      </c>
      <c r="C245" s="7">
        <v>1</v>
      </c>
      <c r="D245" s="7">
        <v>2</v>
      </c>
      <c r="E245" s="8">
        <v>2</v>
      </c>
      <c r="F245" s="9">
        <v>1</v>
      </c>
      <c r="G245" s="9">
        <f t="shared" si="9"/>
        <v>8.4160000000000004</v>
      </c>
      <c r="H245" s="9">
        <f t="shared" si="10"/>
        <v>-0.61544402714932112</v>
      </c>
      <c r="I245" s="9">
        <f t="shared" si="11"/>
        <v>0</v>
      </c>
    </row>
    <row r="246" spans="1:9" x14ac:dyDescent="0.25">
      <c r="A246" s="6">
        <v>15</v>
      </c>
      <c r="B246" s="7">
        <v>40</v>
      </c>
      <c r="C246" s="7">
        <v>2</v>
      </c>
      <c r="D246" s="7">
        <v>8</v>
      </c>
      <c r="E246" s="8">
        <v>0</v>
      </c>
      <c r="F246" s="9">
        <v>0</v>
      </c>
      <c r="G246" s="9">
        <f t="shared" si="9"/>
        <v>9.5730000000000004</v>
      </c>
      <c r="H246" s="9">
        <f t="shared" si="10"/>
        <v>0.54155597285067891</v>
      </c>
      <c r="I246" s="9">
        <f t="shared" si="11"/>
        <v>1</v>
      </c>
    </row>
    <row r="247" spans="1:9" x14ac:dyDescent="0.25">
      <c r="A247" s="6">
        <v>12</v>
      </c>
      <c r="B247" s="7">
        <v>40</v>
      </c>
      <c r="C247" s="7">
        <v>2</v>
      </c>
      <c r="D247" s="7">
        <v>2</v>
      </c>
      <c r="E247" s="8">
        <v>2</v>
      </c>
      <c r="F247" s="9">
        <v>1</v>
      </c>
      <c r="G247" s="9">
        <f t="shared" si="9"/>
        <v>8.3460000000000001</v>
      </c>
      <c r="H247" s="9">
        <f t="shared" si="10"/>
        <v>-0.6854440271493214</v>
      </c>
      <c r="I247" s="9">
        <f t="shared" si="11"/>
        <v>0</v>
      </c>
    </row>
    <row r="248" spans="1:9" x14ac:dyDescent="0.25">
      <c r="A248" s="6">
        <v>13</v>
      </c>
      <c r="B248" s="7">
        <v>40</v>
      </c>
      <c r="C248" s="7">
        <v>2</v>
      </c>
      <c r="D248" s="7">
        <v>2</v>
      </c>
      <c r="E248" s="8">
        <v>2</v>
      </c>
      <c r="F248" s="9">
        <v>1</v>
      </c>
      <c r="G248" s="9">
        <f t="shared" si="9"/>
        <v>8.7550000000000008</v>
      </c>
      <c r="H248" s="9">
        <f t="shared" si="10"/>
        <v>-0.2764440271493207</v>
      </c>
      <c r="I248" s="9">
        <f t="shared" si="11"/>
        <v>0</v>
      </c>
    </row>
    <row r="249" spans="1:9" x14ac:dyDescent="0.25">
      <c r="A249" s="6">
        <v>15</v>
      </c>
      <c r="B249" s="7">
        <v>40</v>
      </c>
      <c r="C249" s="7">
        <v>2</v>
      </c>
      <c r="D249" s="7">
        <v>3</v>
      </c>
      <c r="E249" s="8">
        <v>0</v>
      </c>
      <c r="F249" s="9">
        <v>1</v>
      </c>
      <c r="G249" s="9">
        <f t="shared" si="9"/>
        <v>9.5730000000000004</v>
      </c>
      <c r="H249" s="9">
        <f t="shared" si="10"/>
        <v>0.54155597285067891</v>
      </c>
      <c r="I249" s="9">
        <f t="shared" si="11"/>
        <v>1</v>
      </c>
    </row>
    <row r="250" spans="1:9" x14ac:dyDescent="0.25">
      <c r="A250" s="6">
        <v>16</v>
      </c>
      <c r="B250" s="7">
        <v>40</v>
      </c>
      <c r="C250" s="7">
        <v>2</v>
      </c>
      <c r="D250" s="7">
        <v>4</v>
      </c>
      <c r="E250" s="8">
        <v>3</v>
      </c>
      <c r="F250" s="9">
        <v>1</v>
      </c>
      <c r="G250" s="9">
        <f t="shared" si="9"/>
        <v>9.9820000000000011</v>
      </c>
      <c r="H250" s="9">
        <f t="shared" si="10"/>
        <v>0.95055597285067961</v>
      </c>
      <c r="I250" s="9">
        <f t="shared" si="11"/>
        <v>1</v>
      </c>
    </row>
    <row r="251" spans="1:9" x14ac:dyDescent="0.25">
      <c r="A251" s="6">
        <v>10</v>
      </c>
      <c r="B251" s="7">
        <v>40</v>
      </c>
      <c r="C251" s="7">
        <v>3</v>
      </c>
      <c r="D251" s="7">
        <v>2</v>
      </c>
      <c r="E251" s="8">
        <v>0</v>
      </c>
      <c r="F251" s="9">
        <v>1</v>
      </c>
      <c r="G251" s="9">
        <f t="shared" si="9"/>
        <v>7.867</v>
      </c>
      <c r="H251" s="9">
        <f t="shared" si="10"/>
        <v>-1.1644440271493215</v>
      </c>
      <c r="I251" s="9">
        <f t="shared" si="11"/>
        <v>0</v>
      </c>
    </row>
    <row r="252" spans="1:9" x14ac:dyDescent="0.25">
      <c r="A252" s="6">
        <v>12</v>
      </c>
      <c r="B252" s="7">
        <v>40</v>
      </c>
      <c r="C252" s="7">
        <v>3</v>
      </c>
      <c r="D252" s="7">
        <v>2</v>
      </c>
      <c r="E252" s="8">
        <v>2</v>
      </c>
      <c r="F252" s="9">
        <v>1</v>
      </c>
      <c r="G252" s="9">
        <f t="shared" si="9"/>
        <v>8.6849999999999987</v>
      </c>
      <c r="H252" s="9">
        <f t="shared" si="10"/>
        <v>-0.34644402714932276</v>
      </c>
      <c r="I252" s="9">
        <f t="shared" si="11"/>
        <v>0</v>
      </c>
    </row>
    <row r="253" spans="1:9" x14ac:dyDescent="0.25">
      <c r="A253" s="6">
        <v>15</v>
      </c>
      <c r="B253" s="7">
        <v>40</v>
      </c>
      <c r="C253" s="7">
        <v>4</v>
      </c>
      <c r="D253" s="7">
        <v>1</v>
      </c>
      <c r="E253" s="8">
        <v>2</v>
      </c>
      <c r="F253" s="9">
        <v>1</v>
      </c>
      <c r="G253" s="9">
        <f t="shared" si="9"/>
        <v>10.250999999999999</v>
      </c>
      <c r="H253" s="9">
        <f t="shared" si="10"/>
        <v>1.219555972850678</v>
      </c>
      <c r="I253" s="9">
        <f t="shared" si="11"/>
        <v>1</v>
      </c>
    </row>
    <row r="254" spans="1:9" x14ac:dyDescent="0.25">
      <c r="A254" s="6">
        <v>10</v>
      </c>
      <c r="B254" s="7">
        <v>40</v>
      </c>
      <c r="C254" s="7">
        <v>5</v>
      </c>
      <c r="D254" s="7">
        <v>1</v>
      </c>
      <c r="E254" s="8">
        <v>1</v>
      </c>
      <c r="F254" s="9">
        <v>1</v>
      </c>
      <c r="G254" s="9">
        <f t="shared" si="9"/>
        <v>8.5449999999999999</v>
      </c>
      <c r="H254" s="9">
        <f t="shared" si="10"/>
        <v>-0.48644402714932156</v>
      </c>
      <c r="I254" s="9">
        <f t="shared" si="11"/>
        <v>0</v>
      </c>
    </row>
    <row r="255" spans="1:9" x14ac:dyDescent="0.25">
      <c r="A255" s="6">
        <v>15</v>
      </c>
      <c r="B255" s="7">
        <v>40</v>
      </c>
      <c r="C255" s="7">
        <v>6</v>
      </c>
      <c r="D255" s="7">
        <v>3</v>
      </c>
      <c r="E255" s="8">
        <v>1</v>
      </c>
      <c r="F255" s="9">
        <v>1</v>
      </c>
      <c r="G255" s="9">
        <f t="shared" si="9"/>
        <v>10.929</v>
      </c>
      <c r="H255" s="9">
        <f t="shared" si="10"/>
        <v>1.8975559728506788</v>
      </c>
      <c r="I255" s="9">
        <f t="shared" si="11"/>
        <v>1</v>
      </c>
    </row>
    <row r="256" spans="1:9" x14ac:dyDescent="0.25">
      <c r="A256" s="6">
        <v>15</v>
      </c>
      <c r="B256" s="7">
        <v>41</v>
      </c>
      <c r="C256" s="7">
        <v>1</v>
      </c>
      <c r="D256" s="7">
        <v>2</v>
      </c>
      <c r="E256" s="8">
        <v>1</v>
      </c>
      <c r="F256" s="9">
        <v>1</v>
      </c>
      <c r="G256" s="9">
        <f t="shared" si="9"/>
        <v>9.3030000000000008</v>
      </c>
      <c r="H256" s="9">
        <f t="shared" si="10"/>
        <v>0.27155597285067934</v>
      </c>
      <c r="I256" s="9">
        <f t="shared" si="11"/>
        <v>1</v>
      </c>
    </row>
    <row r="257" spans="1:9" x14ac:dyDescent="0.25">
      <c r="A257" s="6">
        <v>16</v>
      </c>
      <c r="B257" s="7">
        <v>41</v>
      </c>
      <c r="C257" s="7">
        <v>1</v>
      </c>
      <c r="D257" s="7">
        <v>3</v>
      </c>
      <c r="E257" s="8">
        <v>0</v>
      </c>
      <c r="F257" s="9">
        <v>1</v>
      </c>
      <c r="G257" s="9">
        <f t="shared" si="9"/>
        <v>9.7119999999999997</v>
      </c>
      <c r="H257" s="9">
        <f t="shared" si="10"/>
        <v>0.68055597285067826</v>
      </c>
      <c r="I257" s="9">
        <f t="shared" si="11"/>
        <v>1</v>
      </c>
    </row>
    <row r="258" spans="1:9" x14ac:dyDescent="0.25">
      <c r="A258" s="6">
        <v>12</v>
      </c>
      <c r="B258" s="7">
        <v>41</v>
      </c>
      <c r="C258" s="7">
        <v>2</v>
      </c>
      <c r="D258" s="7">
        <v>3</v>
      </c>
      <c r="E258" s="8">
        <v>4</v>
      </c>
      <c r="F258" s="9">
        <v>1</v>
      </c>
      <c r="G258" s="9">
        <f t="shared" ref="G258:G321" si="12">A258*$L$3+B258*$L$4+C258*$L$5</f>
        <v>8.4150000000000009</v>
      </c>
      <c r="H258" s="9">
        <f t="shared" si="10"/>
        <v>-0.61644402714932056</v>
      </c>
      <c r="I258" s="9">
        <f t="shared" si="11"/>
        <v>0</v>
      </c>
    </row>
    <row r="259" spans="1:9" x14ac:dyDescent="0.25">
      <c r="A259" s="6">
        <v>12</v>
      </c>
      <c r="B259" s="7">
        <v>41</v>
      </c>
      <c r="C259" s="7">
        <v>2</v>
      </c>
      <c r="D259" s="7">
        <v>1</v>
      </c>
      <c r="E259" s="8">
        <v>3</v>
      </c>
      <c r="F259" s="9">
        <v>1</v>
      </c>
      <c r="G259" s="9">
        <f t="shared" si="12"/>
        <v>8.4150000000000009</v>
      </c>
      <c r="H259" s="9">
        <f t="shared" ref="H259:H322" si="13">G259-$L$11</f>
        <v>-0.61644402714932056</v>
      </c>
      <c r="I259" s="9">
        <f t="shared" ref="I259:I322" si="14">IF(H259&lt;0,0,1)</f>
        <v>0</v>
      </c>
    </row>
    <row r="260" spans="1:9" x14ac:dyDescent="0.25">
      <c r="A260" s="6">
        <v>13</v>
      </c>
      <c r="B260" s="7">
        <v>41</v>
      </c>
      <c r="C260" s="7">
        <v>2</v>
      </c>
      <c r="D260" s="7">
        <v>0</v>
      </c>
      <c r="E260" s="8">
        <v>0</v>
      </c>
      <c r="F260" s="9">
        <v>1</v>
      </c>
      <c r="G260" s="9">
        <f t="shared" si="12"/>
        <v>8.8239999999999998</v>
      </c>
      <c r="H260" s="9">
        <f t="shared" si="13"/>
        <v>-0.20744402714932164</v>
      </c>
      <c r="I260" s="9">
        <f t="shared" si="14"/>
        <v>0</v>
      </c>
    </row>
    <row r="261" spans="1:9" x14ac:dyDescent="0.25">
      <c r="A261" s="6">
        <v>13</v>
      </c>
      <c r="B261" s="7">
        <v>41</v>
      </c>
      <c r="C261" s="7">
        <v>2</v>
      </c>
      <c r="D261" s="7">
        <v>2</v>
      </c>
      <c r="E261" s="8">
        <v>3</v>
      </c>
      <c r="F261" s="9">
        <v>1</v>
      </c>
      <c r="G261" s="9">
        <f t="shared" si="12"/>
        <v>8.8239999999999998</v>
      </c>
      <c r="H261" s="9">
        <f t="shared" si="13"/>
        <v>-0.20744402714932164</v>
      </c>
      <c r="I261" s="9">
        <f t="shared" si="14"/>
        <v>0</v>
      </c>
    </row>
    <row r="262" spans="1:9" x14ac:dyDescent="0.25">
      <c r="A262" s="6">
        <v>15</v>
      </c>
      <c r="B262" s="7">
        <v>41</v>
      </c>
      <c r="C262" s="7">
        <v>2</v>
      </c>
      <c r="D262" s="7">
        <v>6</v>
      </c>
      <c r="E262" s="8">
        <v>2</v>
      </c>
      <c r="F262" s="9">
        <v>1</v>
      </c>
      <c r="G262" s="9">
        <f t="shared" si="12"/>
        <v>9.6420000000000012</v>
      </c>
      <c r="H262" s="9">
        <f t="shared" si="13"/>
        <v>0.61055597285067975</v>
      </c>
      <c r="I262" s="9">
        <f t="shared" si="14"/>
        <v>1</v>
      </c>
    </row>
    <row r="263" spans="1:9" x14ac:dyDescent="0.25">
      <c r="A263" s="6">
        <v>15</v>
      </c>
      <c r="B263" s="7">
        <v>41</v>
      </c>
      <c r="C263" s="7">
        <v>2</v>
      </c>
      <c r="D263" s="7">
        <v>4</v>
      </c>
      <c r="E263" s="8">
        <v>2</v>
      </c>
      <c r="F263" s="9">
        <v>1</v>
      </c>
      <c r="G263" s="9">
        <f t="shared" si="12"/>
        <v>9.6420000000000012</v>
      </c>
      <c r="H263" s="9">
        <f t="shared" si="13"/>
        <v>0.61055597285067975</v>
      </c>
      <c r="I263" s="9">
        <f t="shared" si="14"/>
        <v>1</v>
      </c>
    </row>
    <row r="264" spans="1:9" x14ac:dyDescent="0.25">
      <c r="A264" s="6">
        <v>15</v>
      </c>
      <c r="B264" s="7">
        <v>41</v>
      </c>
      <c r="C264" s="7">
        <v>2</v>
      </c>
      <c r="D264" s="7">
        <v>6</v>
      </c>
      <c r="E264" s="8">
        <v>1</v>
      </c>
      <c r="F264" s="9">
        <v>1</v>
      </c>
      <c r="G264" s="9">
        <f t="shared" si="12"/>
        <v>9.6420000000000012</v>
      </c>
      <c r="H264" s="9">
        <f t="shared" si="13"/>
        <v>0.61055597285067975</v>
      </c>
      <c r="I264" s="9">
        <f t="shared" si="14"/>
        <v>1</v>
      </c>
    </row>
    <row r="265" spans="1:9" x14ac:dyDescent="0.25">
      <c r="A265" s="6">
        <v>12</v>
      </c>
      <c r="B265" s="7">
        <v>41</v>
      </c>
      <c r="C265" s="7">
        <v>3</v>
      </c>
      <c r="D265" s="7">
        <v>0</v>
      </c>
      <c r="E265" s="8">
        <v>3</v>
      </c>
      <c r="F265" s="9">
        <v>1</v>
      </c>
      <c r="G265" s="9">
        <f t="shared" si="12"/>
        <v>8.7539999999999996</v>
      </c>
      <c r="H265" s="9">
        <f t="shared" si="13"/>
        <v>-0.27744402714932193</v>
      </c>
      <c r="I265" s="9">
        <f t="shared" si="14"/>
        <v>0</v>
      </c>
    </row>
    <row r="266" spans="1:9" x14ac:dyDescent="0.25">
      <c r="A266" s="6">
        <v>12</v>
      </c>
      <c r="B266" s="7">
        <v>41</v>
      </c>
      <c r="C266" s="7">
        <v>3</v>
      </c>
      <c r="D266" s="7">
        <v>1</v>
      </c>
      <c r="E266" s="8">
        <v>2</v>
      </c>
      <c r="F266" s="9">
        <v>1</v>
      </c>
      <c r="G266" s="9">
        <f t="shared" si="12"/>
        <v>8.7539999999999996</v>
      </c>
      <c r="H266" s="9">
        <f t="shared" si="13"/>
        <v>-0.27744402714932193</v>
      </c>
      <c r="I266" s="9">
        <f t="shared" si="14"/>
        <v>0</v>
      </c>
    </row>
    <row r="267" spans="1:9" x14ac:dyDescent="0.25">
      <c r="A267" s="6">
        <v>15</v>
      </c>
      <c r="B267" s="7">
        <v>41</v>
      </c>
      <c r="C267" s="7">
        <v>3</v>
      </c>
      <c r="D267" s="7">
        <v>0</v>
      </c>
      <c r="E267" s="8">
        <v>0</v>
      </c>
      <c r="F267" s="9">
        <v>1</v>
      </c>
      <c r="G267" s="9">
        <f t="shared" si="12"/>
        <v>9.9809999999999999</v>
      </c>
      <c r="H267" s="9">
        <f t="shared" si="13"/>
        <v>0.94955597285067839</v>
      </c>
      <c r="I267" s="9">
        <f t="shared" si="14"/>
        <v>1</v>
      </c>
    </row>
    <row r="268" spans="1:9" x14ac:dyDescent="0.25">
      <c r="A268" s="6">
        <v>12</v>
      </c>
      <c r="B268" s="7">
        <v>41</v>
      </c>
      <c r="C268" s="7">
        <v>5</v>
      </c>
      <c r="D268" s="7">
        <v>0</v>
      </c>
      <c r="E268" s="8">
        <v>1</v>
      </c>
      <c r="F268" s="9">
        <v>1</v>
      </c>
      <c r="G268" s="9">
        <f t="shared" si="12"/>
        <v>9.4320000000000004</v>
      </c>
      <c r="H268" s="9">
        <f t="shared" si="13"/>
        <v>0.4005559728506789</v>
      </c>
      <c r="I268" s="9">
        <f t="shared" si="14"/>
        <v>1</v>
      </c>
    </row>
    <row r="269" spans="1:9" x14ac:dyDescent="0.25">
      <c r="A269" s="6">
        <v>15</v>
      </c>
      <c r="B269" s="7">
        <v>41</v>
      </c>
      <c r="C269" s="7">
        <v>6</v>
      </c>
      <c r="D269" s="7">
        <v>3</v>
      </c>
      <c r="E269" s="8">
        <v>1</v>
      </c>
      <c r="F269" s="9">
        <v>1</v>
      </c>
      <c r="G269" s="9">
        <f t="shared" si="12"/>
        <v>10.998000000000001</v>
      </c>
      <c r="H269" s="9">
        <f t="shared" si="13"/>
        <v>1.9665559728506796</v>
      </c>
      <c r="I269" s="9">
        <f t="shared" si="14"/>
        <v>1</v>
      </c>
    </row>
    <row r="270" spans="1:9" x14ac:dyDescent="0.25">
      <c r="A270" s="6">
        <v>12</v>
      </c>
      <c r="B270" s="7">
        <v>41</v>
      </c>
      <c r="C270" s="7">
        <v>9</v>
      </c>
      <c r="D270" s="7">
        <v>3</v>
      </c>
      <c r="E270" s="8">
        <v>2</v>
      </c>
      <c r="F270" s="9">
        <v>1</v>
      </c>
      <c r="G270" s="9">
        <f t="shared" si="12"/>
        <v>10.788</v>
      </c>
      <c r="H270" s="9">
        <f t="shared" si="13"/>
        <v>1.7565559728506788</v>
      </c>
      <c r="I270" s="9">
        <f t="shared" si="14"/>
        <v>1</v>
      </c>
    </row>
    <row r="271" spans="1:9" x14ac:dyDescent="0.25">
      <c r="A271" s="6">
        <v>16</v>
      </c>
      <c r="B271" s="7">
        <v>42</v>
      </c>
      <c r="C271" s="7">
        <v>1</v>
      </c>
      <c r="D271" s="7">
        <v>4</v>
      </c>
      <c r="E271" s="8">
        <v>4</v>
      </c>
      <c r="F271" s="9">
        <v>1</v>
      </c>
      <c r="G271" s="9">
        <f t="shared" si="12"/>
        <v>9.7810000000000006</v>
      </c>
      <c r="H271" s="9">
        <f t="shared" si="13"/>
        <v>0.7495559728506791</v>
      </c>
      <c r="I271" s="9">
        <f t="shared" si="14"/>
        <v>1</v>
      </c>
    </row>
    <row r="272" spans="1:9" x14ac:dyDescent="0.25">
      <c r="A272" s="6">
        <v>16</v>
      </c>
      <c r="B272" s="7">
        <v>42</v>
      </c>
      <c r="C272" s="7">
        <v>1</v>
      </c>
      <c r="D272" s="7">
        <v>5</v>
      </c>
      <c r="E272" s="8">
        <v>0</v>
      </c>
      <c r="F272" s="9">
        <v>1</v>
      </c>
      <c r="G272" s="9">
        <f t="shared" si="12"/>
        <v>9.7810000000000006</v>
      </c>
      <c r="H272" s="9">
        <f t="shared" si="13"/>
        <v>0.7495559728506791</v>
      </c>
      <c r="I272" s="9">
        <f t="shared" si="14"/>
        <v>1</v>
      </c>
    </row>
    <row r="273" spans="1:9" x14ac:dyDescent="0.25">
      <c r="A273" s="6">
        <v>12</v>
      </c>
      <c r="B273" s="7">
        <v>42</v>
      </c>
      <c r="C273" s="7">
        <v>2</v>
      </c>
      <c r="D273" s="7">
        <v>0</v>
      </c>
      <c r="E273" s="8">
        <v>0</v>
      </c>
      <c r="F273" s="9">
        <v>1</v>
      </c>
      <c r="G273" s="9">
        <f t="shared" si="12"/>
        <v>8.484</v>
      </c>
      <c r="H273" s="9">
        <f t="shared" si="13"/>
        <v>-0.5474440271493215</v>
      </c>
      <c r="I273" s="9">
        <f t="shared" si="14"/>
        <v>0</v>
      </c>
    </row>
    <row r="274" spans="1:9" x14ac:dyDescent="0.25">
      <c r="A274" s="6">
        <v>12</v>
      </c>
      <c r="B274" s="7">
        <v>42</v>
      </c>
      <c r="C274" s="7">
        <v>2</v>
      </c>
      <c r="D274" s="7">
        <v>3</v>
      </c>
      <c r="E274" s="8">
        <v>2</v>
      </c>
      <c r="F274" s="9">
        <v>1</v>
      </c>
      <c r="G274" s="9">
        <f t="shared" si="12"/>
        <v>8.484</v>
      </c>
      <c r="H274" s="9">
        <f t="shared" si="13"/>
        <v>-0.5474440271493215</v>
      </c>
      <c r="I274" s="9">
        <f t="shared" si="14"/>
        <v>0</v>
      </c>
    </row>
    <row r="275" spans="1:9" x14ac:dyDescent="0.25">
      <c r="A275" s="6">
        <v>13</v>
      </c>
      <c r="B275" s="7">
        <v>42</v>
      </c>
      <c r="C275" s="7">
        <v>2</v>
      </c>
      <c r="D275" s="7">
        <v>0</v>
      </c>
      <c r="E275" s="8">
        <v>4</v>
      </c>
      <c r="F275" s="9">
        <v>1</v>
      </c>
      <c r="G275" s="9">
        <f t="shared" si="12"/>
        <v>8.8930000000000007</v>
      </c>
      <c r="H275" s="9">
        <f t="shared" si="13"/>
        <v>-0.1384440271493208</v>
      </c>
      <c r="I275" s="9">
        <f t="shared" si="14"/>
        <v>0</v>
      </c>
    </row>
    <row r="276" spans="1:9" x14ac:dyDescent="0.25">
      <c r="A276" s="6">
        <v>16</v>
      </c>
      <c r="B276" s="7">
        <v>42</v>
      </c>
      <c r="C276" s="7">
        <v>2</v>
      </c>
      <c r="D276" s="7">
        <v>0</v>
      </c>
      <c r="E276" s="8">
        <v>5</v>
      </c>
      <c r="F276" s="9">
        <v>1</v>
      </c>
      <c r="G276" s="9">
        <f t="shared" si="12"/>
        <v>10.120000000000001</v>
      </c>
      <c r="H276" s="9">
        <f t="shared" si="13"/>
        <v>1.0885559728506795</v>
      </c>
      <c r="I276" s="9">
        <f t="shared" si="14"/>
        <v>1</v>
      </c>
    </row>
    <row r="277" spans="1:9" x14ac:dyDescent="0.25">
      <c r="A277" s="6">
        <v>12</v>
      </c>
      <c r="B277" s="7">
        <v>42</v>
      </c>
      <c r="C277" s="7">
        <v>3</v>
      </c>
      <c r="D277" s="7">
        <v>0</v>
      </c>
      <c r="E277" s="8">
        <v>1</v>
      </c>
      <c r="F277" s="9">
        <v>0</v>
      </c>
      <c r="G277" s="9">
        <f t="shared" si="12"/>
        <v>8.8229999999999986</v>
      </c>
      <c r="H277" s="9">
        <f t="shared" si="13"/>
        <v>-0.20844402714932286</v>
      </c>
      <c r="I277" s="9">
        <f t="shared" si="14"/>
        <v>0</v>
      </c>
    </row>
    <row r="278" spans="1:9" x14ac:dyDescent="0.25">
      <c r="A278" s="6">
        <v>12</v>
      </c>
      <c r="B278" s="7">
        <v>42</v>
      </c>
      <c r="C278" s="7">
        <v>3</v>
      </c>
      <c r="D278" s="7">
        <v>1</v>
      </c>
      <c r="E278" s="8">
        <v>1</v>
      </c>
      <c r="F278" s="9">
        <v>1</v>
      </c>
      <c r="G278" s="9">
        <f t="shared" si="12"/>
        <v>8.8229999999999986</v>
      </c>
      <c r="H278" s="9">
        <f t="shared" si="13"/>
        <v>-0.20844402714932286</v>
      </c>
      <c r="I278" s="9">
        <f t="shared" si="14"/>
        <v>0</v>
      </c>
    </row>
    <row r="279" spans="1:9" x14ac:dyDescent="0.25">
      <c r="A279" s="6">
        <v>12</v>
      </c>
      <c r="B279" s="7">
        <v>42</v>
      </c>
      <c r="C279" s="7">
        <v>4</v>
      </c>
      <c r="D279" s="7">
        <v>3</v>
      </c>
      <c r="E279" s="8">
        <v>2</v>
      </c>
      <c r="F279" s="9">
        <v>1</v>
      </c>
      <c r="G279" s="9">
        <f t="shared" si="12"/>
        <v>9.161999999999999</v>
      </c>
      <c r="H279" s="9">
        <f t="shared" si="13"/>
        <v>0.13055597285067755</v>
      </c>
      <c r="I279" s="9">
        <f t="shared" si="14"/>
        <v>1</v>
      </c>
    </row>
    <row r="280" spans="1:9" x14ac:dyDescent="0.25">
      <c r="A280" s="6">
        <v>12</v>
      </c>
      <c r="B280" s="7">
        <v>42</v>
      </c>
      <c r="C280" s="7">
        <v>4</v>
      </c>
      <c r="D280" s="7">
        <v>5</v>
      </c>
      <c r="E280" s="8">
        <v>0</v>
      </c>
      <c r="F280" s="9">
        <v>1</v>
      </c>
      <c r="G280" s="9">
        <f t="shared" si="12"/>
        <v>9.161999999999999</v>
      </c>
      <c r="H280" s="9">
        <f t="shared" si="13"/>
        <v>0.13055597285067755</v>
      </c>
      <c r="I280" s="9">
        <f t="shared" si="14"/>
        <v>1</v>
      </c>
    </row>
    <row r="281" spans="1:9" x14ac:dyDescent="0.25">
      <c r="A281" s="6">
        <v>16</v>
      </c>
      <c r="B281" s="7">
        <v>42</v>
      </c>
      <c r="C281" s="7">
        <v>4</v>
      </c>
      <c r="D281" s="7">
        <v>2</v>
      </c>
      <c r="E281" s="8">
        <v>2</v>
      </c>
      <c r="F281" s="9">
        <v>1</v>
      </c>
      <c r="G281" s="9">
        <f t="shared" si="12"/>
        <v>10.798</v>
      </c>
      <c r="H281" s="9">
        <f t="shared" si="13"/>
        <v>1.7665559728506786</v>
      </c>
      <c r="I281" s="9">
        <f t="shared" si="14"/>
        <v>1</v>
      </c>
    </row>
    <row r="282" spans="1:9" x14ac:dyDescent="0.25">
      <c r="A282" s="6">
        <v>12</v>
      </c>
      <c r="B282" s="7">
        <v>43</v>
      </c>
      <c r="C282" s="7">
        <v>1</v>
      </c>
      <c r="D282" s="7">
        <v>0</v>
      </c>
      <c r="E282" s="8">
        <v>1</v>
      </c>
      <c r="F282" s="9">
        <v>1</v>
      </c>
      <c r="G282" s="9">
        <f t="shared" si="12"/>
        <v>8.2140000000000004</v>
      </c>
      <c r="H282" s="9">
        <f t="shared" si="13"/>
        <v>-0.81744402714932107</v>
      </c>
      <c r="I282" s="9">
        <f t="shared" si="14"/>
        <v>0</v>
      </c>
    </row>
    <row r="283" spans="1:9" x14ac:dyDescent="0.25">
      <c r="A283" s="6">
        <v>13</v>
      </c>
      <c r="B283" s="7">
        <v>43</v>
      </c>
      <c r="C283" s="7">
        <v>1</v>
      </c>
      <c r="D283" s="7">
        <v>2</v>
      </c>
      <c r="E283" s="8">
        <v>4</v>
      </c>
      <c r="F283" s="9">
        <v>1</v>
      </c>
      <c r="G283" s="9">
        <f t="shared" si="12"/>
        <v>8.6229999999999993</v>
      </c>
      <c r="H283" s="9">
        <f t="shared" si="13"/>
        <v>-0.40844402714932215</v>
      </c>
      <c r="I283" s="9">
        <f t="shared" si="14"/>
        <v>0</v>
      </c>
    </row>
    <row r="284" spans="1:9" x14ac:dyDescent="0.25">
      <c r="A284" s="6">
        <v>15</v>
      </c>
      <c r="B284" s="7">
        <v>43</v>
      </c>
      <c r="C284" s="7">
        <v>1</v>
      </c>
      <c r="D284" s="7">
        <v>0</v>
      </c>
      <c r="E284" s="8">
        <v>1</v>
      </c>
      <c r="F284" s="9">
        <v>1</v>
      </c>
      <c r="G284" s="9">
        <f t="shared" si="12"/>
        <v>9.4410000000000007</v>
      </c>
      <c r="H284" s="9">
        <f t="shared" si="13"/>
        <v>0.40955597285067924</v>
      </c>
      <c r="I284" s="9">
        <f t="shared" si="14"/>
        <v>1</v>
      </c>
    </row>
    <row r="285" spans="1:9" x14ac:dyDescent="0.25">
      <c r="A285" s="6">
        <v>15</v>
      </c>
      <c r="B285" s="7">
        <v>43</v>
      </c>
      <c r="C285" s="7">
        <v>1</v>
      </c>
      <c r="D285" s="7">
        <v>1</v>
      </c>
      <c r="E285" s="8">
        <v>3</v>
      </c>
      <c r="F285" s="9">
        <v>1</v>
      </c>
      <c r="G285" s="9">
        <f t="shared" si="12"/>
        <v>9.4410000000000007</v>
      </c>
      <c r="H285" s="9">
        <f t="shared" si="13"/>
        <v>0.40955597285067924</v>
      </c>
      <c r="I285" s="9">
        <f t="shared" si="14"/>
        <v>1</v>
      </c>
    </row>
    <row r="286" spans="1:9" x14ac:dyDescent="0.25">
      <c r="A286" s="6">
        <v>15</v>
      </c>
      <c r="B286" s="7">
        <v>43</v>
      </c>
      <c r="C286" s="7">
        <v>2</v>
      </c>
      <c r="D286" s="7">
        <v>2</v>
      </c>
      <c r="E286" s="8">
        <v>2</v>
      </c>
      <c r="F286" s="9">
        <v>0</v>
      </c>
      <c r="G286" s="9">
        <f t="shared" si="12"/>
        <v>9.7800000000000011</v>
      </c>
      <c r="H286" s="9">
        <f t="shared" si="13"/>
        <v>0.74855597285067965</v>
      </c>
      <c r="I286" s="9">
        <f t="shared" si="14"/>
        <v>1</v>
      </c>
    </row>
    <row r="287" spans="1:9" x14ac:dyDescent="0.25">
      <c r="A287" s="6">
        <v>11</v>
      </c>
      <c r="B287" s="7">
        <v>43</v>
      </c>
      <c r="C287" s="7">
        <v>2</v>
      </c>
      <c r="D287" s="7">
        <v>0</v>
      </c>
      <c r="E287" s="8">
        <v>2</v>
      </c>
      <c r="F287" s="9">
        <v>1</v>
      </c>
      <c r="G287" s="9">
        <f t="shared" si="12"/>
        <v>8.1440000000000001</v>
      </c>
      <c r="H287" s="9">
        <f t="shared" si="13"/>
        <v>-0.88744402714932136</v>
      </c>
      <c r="I287" s="9">
        <f t="shared" si="14"/>
        <v>0</v>
      </c>
    </row>
    <row r="288" spans="1:9" x14ac:dyDescent="0.25">
      <c r="A288" s="6">
        <v>13</v>
      </c>
      <c r="B288" s="7">
        <v>43</v>
      </c>
      <c r="C288" s="7">
        <v>2</v>
      </c>
      <c r="D288" s="7">
        <v>0</v>
      </c>
      <c r="E288" s="8">
        <v>2</v>
      </c>
      <c r="F288" s="9">
        <v>1</v>
      </c>
      <c r="G288" s="9">
        <f t="shared" si="12"/>
        <v>8.9619999999999997</v>
      </c>
      <c r="H288" s="9">
        <f t="shared" si="13"/>
        <v>-6.9444027149321741E-2</v>
      </c>
      <c r="I288" s="9">
        <f t="shared" si="14"/>
        <v>0</v>
      </c>
    </row>
    <row r="289" spans="1:9" x14ac:dyDescent="0.25">
      <c r="A289" s="6">
        <v>15</v>
      </c>
      <c r="B289" s="7">
        <v>43</v>
      </c>
      <c r="C289" s="7">
        <v>2</v>
      </c>
      <c r="D289" s="7">
        <v>1</v>
      </c>
      <c r="E289" s="8">
        <v>0</v>
      </c>
      <c r="F289" s="9">
        <v>1</v>
      </c>
      <c r="G289" s="9">
        <f t="shared" si="12"/>
        <v>9.7800000000000011</v>
      </c>
      <c r="H289" s="9">
        <f t="shared" si="13"/>
        <v>0.74855597285067965</v>
      </c>
      <c r="I289" s="9">
        <f t="shared" si="14"/>
        <v>1</v>
      </c>
    </row>
    <row r="290" spans="1:9" x14ac:dyDescent="0.25">
      <c r="A290" s="6">
        <v>15</v>
      </c>
      <c r="B290" s="7">
        <v>43</v>
      </c>
      <c r="C290" s="7">
        <v>3</v>
      </c>
      <c r="D290" s="7">
        <v>1</v>
      </c>
      <c r="E290" s="8">
        <v>3</v>
      </c>
      <c r="F290" s="9">
        <v>1</v>
      </c>
      <c r="G290" s="9">
        <f t="shared" si="12"/>
        <v>10.119</v>
      </c>
      <c r="H290" s="9">
        <f t="shared" si="13"/>
        <v>1.0875559728506783</v>
      </c>
      <c r="I290" s="9">
        <f t="shared" si="14"/>
        <v>1</v>
      </c>
    </row>
    <row r="291" spans="1:9" x14ac:dyDescent="0.25">
      <c r="A291" s="6">
        <v>15</v>
      </c>
      <c r="B291" s="7">
        <v>43</v>
      </c>
      <c r="C291" s="7">
        <v>3</v>
      </c>
      <c r="D291" s="7">
        <v>4</v>
      </c>
      <c r="E291" s="8">
        <v>2</v>
      </c>
      <c r="F291" s="9">
        <v>1</v>
      </c>
      <c r="G291" s="9">
        <f t="shared" si="12"/>
        <v>10.119</v>
      </c>
      <c r="H291" s="9">
        <f t="shared" si="13"/>
        <v>1.0875559728506783</v>
      </c>
      <c r="I291" s="9">
        <f t="shared" si="14"/>
        <v>1</v>
      </c>
    </row>
    <row r="292" spans="1:9" x14ac:dyDescent="0.25">
      <c r="A292" s="6">
        <v>15</v>
      </c>
      <c r="B292" s="7">
        <v>43</v>
      </c>
      <c r="C292" s="7">
        <v>3</v>
      </c>
      <c r="D292" s="7">
        <v>4</v>
      </c>
      <c r="E292" s="8">
        <v>1</v>
      </c>
      <c r="F292" s="9">
        <v>1</v>
      </c>
      <c r="G292" s="9">
        <f t="shared" si="12"/>
        <v>10.119</v>
      </c>
      <c r="H292" s="9">
        <f t="shared" si="13"/>
        <v>1.0875559728506783</v>
      </c>
      <c r="I292" s="9">
        <f t="shared" si="14"/>
        <v>1</v>
      </c>
    </row>
    <row r="293" spans="1:9" x14ac:dyDescent="0.25">
      <c r="A293" s="6">
        <v>12</v>
      </c>
      <c r="B293" s="7">
        <v>43</v>
      </c>
      <c r="C293" s="7">
        <v>4</v>
      </c>
      <c r="D293" s="7">
        <v>2</v>
      </c>
      <c r="E293" s="8">
        <v>3</v>
      </c>
      <c r="F293" s="9">
        <v>1</v>
      </c>
      <c r="G293" s="9">
        <f t="shared" si="12"/>
        <v>9.2309999999999999</v>
      </c>
      <c r="H293" s="9">
        <f t="shared" si="13"/>
        <v>0.19955597285067839</v>
      </c>
      <c r="I293" s="9">
        <f t="shared" si="14"/>
        <v>1</v>
      </c>
    </row>
    <row r="294" spans="1:9" x14ac:dyDescent="0.25">
      <c r="A294" s="6">
        <v>15</v>
      </c>
      <c r="B294" s="7">
        <v>43</v>
      </c>
      <c r="C294" s="7">
        <v>4</v>
      </c>
      <c r="D294" s="7">
        <v>2</v>
      </c>
      <c r="E294" s="8">
        <v>2</v>
      </c>
      <c r="F294" s="9">
        <v>1</v>
      </c>
      <c r="G294" s="9">
        <f t="shared" si="12"/>
        <v>10.458</v>
      </c>
      <c r="H294" s="9">
        <f t="shared" si="13"/>
        <v>1.4265559728506787</v>
      </c>
      <c r="I294" s="9">
        <f t="shared" si="14"/>
        <v>1</v>
      </c>
    </row>
    <row r="295" spans="1:9" x14ac:dyDescent="0.25">
      <c r="A295" s="6">
        <v>12</v>
      </c>
      <c r="B295" s="7">
        <v>44</v>
      </c>
      <c r="C295" s="7">
        <v>1</v>
      </c>
      <c r="D295" s="7">
        <v>4</v>
      </c>
      <c r="E295" s="8">
        <v>2</v>
      </c>
      <c r="F295" s="9">
        <v>1</v>
      </c>
      <c r="G295" s="9">
        <f t="shared" si="12"/>
        <v>8.2829999999999995</v>
      </c>
      <c r="H295" s="9">
        <f t="shared" si="13"/>
        <v>-0.74844402714932201</v>
      </c>
      <c r="I295" s="9">
        <f t="shared" si="14"/>
        <v>0</v>
      </c>
    </row>
    <row r="296" spans="1:9" x14ac:dyDescent="0.25">
      <c r="A296" s="6">
        <v>15</v>
      </c>
      <c r="B296" s="7">
        <v>44</v>
      </c>
      <c r="C296" s="7">
        <v>1</v>
      </c>
      <c r="D296" s="7">
        <v>1</v>
      </c>
      <c r="E296" s="8">
        <v>1</v>
      </c>
      <c r="F296" s="9">
        <v>1</v>
      </c>
      <c r="G296" s="9">
        <f t="shared" si="12"/>
        <v>9.51</v>
      </c>
      <c r="H296" s="9">
        <f t="shared" si="13"/>
        <v>0.4785559728506783</v>
      </c>
      <c r="I296" s="9">
        <f t="shared" si="14"/>
        <v>1</v>
      </c>
    </row>
    <row r="297" spans="1:9" x14ac:dyDescent="0.25">
      <c r="A297" s="6">
        <v>16</v>
      </c>
      <c r="B297" s="7">
        <v>44</v>
      </c>
      <c r="C297" s="7">
        <v>1</v>
      </c>
      <c r="D297" s="7">
        <v>0</v>
      </c>
      <c r="E297" s="8">
        <v>2</v>
      </c>
      <c r="F297" s="9">
        <v>1</v>
      </c>
      <c r="G297" s="9">
        <f t="shared" si="12"/>
        <v>9.9190000000000005</v>
      </c>
      <c r="H297" s="9">
        <f t="shared" si="13"/>
        <v>0.887555972850679</v>
      </c>
      <c r="I297" s="9">
        <f t="shared" si="14"/>
        <v>1</v>
      </c>
    </row>
    <row r="298" spans="1:9" x14ac:dyDescent="0.25">
      <c r="A298" s="6">
        <v>8</v>
      </c>
      <c r="B298" s="7">
        <v>44</v>
      </c>
      <c r="C298" s="7">
        <v>2</v>
      </c>
      <c r="D298" s="7">
        <v>0</v>
      </c>
      <c r="E298" s="8">
        <v>2</v>
      </c>
      <c r="F298" s="9">
        <v>1</v>
      </c>
      <c r="G298" s="9">
        <f t="shared" si="12"/>
        <v>6.9859999999999998</v>
      </c>
      <c r="H298" s="9">
        <f t="shared" si="13"/>
        <v>-2.0454440271493217</v>
      </c>
      <c r="I298" s="9">
        <f t="shared" si="14"/>
        <v>0</v>
      </c>
    </row>
    <row r="299" spans="1:9" x14ac:dyDescent="0.25">
      <c r="A299" s="6">
        <v>11</v>
      </c>
      <c r="B299" s="7">
        <v>44</v>
      </c>
      <c r="C299" s="7">
        <v>2</v>
      </c>
      <c r="D299" s="7">
        <v>0</v>
      </c>
      <c r="E299" s="8">
        <v>6</v>
      </c>
      <c r="F299" s="9">
        <v>1</v>
      </c>
      <c r="G299" s="9">
        <f t="shared" si="12"/>
        <v>8.213000000000001</v>
      </c>
      <c r="H299" s="9">
        <f t="shared" si="13"/>
        <v>-0.81844402714932052</v>
      </c>
      <c r="I299" s="9">
        <f t="shared" si="14"/>
        <v>0</v>
      </c>
    </row>
    <row r="300" spans="1:9" x14ac:dyDescent="0.25">
      <c r="A300" s="6">
        <v>12</v>
      </c>
      <c r="B300" s="7">
        <v>44</v>
      </c>
      <c r="C300" s="7">
        <v>2</v>
      </c>
      <c r="D300" s="7">
        <v>2</v>
      </c>
      <c r="E300" s="8">
        <v>2</v>
      </c>
      <c r="F300" s="9">
        <v>1</v>
      </c>
      <c r="G300" s="9">
        <f t="shared" si="12"/>
        <v>8.6219999999999999</v>
      </c>
      <c r="H300" s="9">
        <f t="shared" si="13"/>
        <v>-0.4094440271493216</v>
      </c>
      <c r="I300" s="9">
        <f t="shared" si="14"/>
        <v>0</v>
      </c>
    </row>
    <row r="301" spans="1:9" x14ac:dyDescent="0.25">
      <c r="A301" s="6">
        <v>12</v>
      </c>
      <c r="B301" s="7">
        <v>44</v>
      </c>
      <c r="C301" s="7">
        <v>2</v>
      </c>
      <c r="D301" s="7">
        <v>2</v>
      </c>
      <c r="E301" s="8">
        <v>4</v>
      </c>
      <c r="F301" s="9">
        <v>1</v>
      </c>
      <c r="G301" s="9">
        <f t="shared" si="12"/>
        <v>8.6219999999999999</v>
      </c>
      <c r="H301" s="9">
        <f t="shared" si="13"/>
        <v>-0.4094440271493216</v>
      </c>
      <c r="I301" s="9">
        <f t="shared" si="14"/>
        <v>0</v>
      </c>
    </row>
    <row r="302" spans="1:9" x14ac:dyDescent="0.25">
      <c r="A302" s="6">
        <v>12</v>
      </c>
      <c r="B302" s="7">
        <v>44</v>
      </c>
      <c r="C302" s="7">
        <v>2</v>
      </c>
      <c r="D302" s="7">
        <v>3</v>
      </c>
      <c r="E302" s="8">
        <v>2</v>
      </c>
      <c r="F302" s="9">
        <v>1</v>
      </c>
      <c r="G302" s="9">
        <f t="shared" si="12"/>
        <v>8.6219999999999999</v>
      </c>
      <c r="H302" s="9">
        <f t="shared" si="13"/>
        <v>-0.4094440271493216</v>
      </c>
      <c r="I302" s="9">
        <f t="shared" si="14"/>
        <v>0</v>
      </c>
    </row>
    <row r="303" spans="1:9" x14ac:dyDescent="0.25">
      <c r="A303" s="6">
        <v>10</v>
      </c>
      <c r="B303" s="7">
        <v>44</v>
      </c>
      <c r="C303" s="7">
        <v>3</v>
      </c>
      <c r="D303" s="7">
        <v>0</v>
      </c>
      <c r="E303" s="8">
        <v>0</v>
      </c>
      <c r="F303" s="9">
        <v>1</v>
      </c>
      <c r="G303" s="9">
        <f t="shared" si="12"/>
        <v>8.1430000000000007</v>
      </c>
      <c r="H303" s="9">
        <f t="shared" si="13"/>
        <v>-0.8884440271493208</v>
      </c>
      <c r="I303" s="9">
        <f t="shared" si="14"/>
        <v>0</v>
      </c>
    </row>
    <row r="304" spans="1:9" x14ac:dyDescent="0.25">
      <c r="A304" s="6">
        <v>15</v>
      </c>
      <c r="B304" s="7">
        <v>44</v>
      </c>
      <c r="C304" s="7">
        <v>3</v>
      </c>
      <c r="D304" s="7">
        <v>3</v>
      </c>
      <c r="E304" s="8">
        <v>0</v>
      </c>
      <c r="F304" s="9">
        <v>1</v>
      </c>
      <c r="G304" s="9">
        <f t="shared" si="12"/>
        <v>10.187999999999999</v>
      </c>
      <c r="H304" s="9">
        <f t="shared" si="13"/>
        <v>1.1565559728506773</v>
      </c>
      <c r="I304" s="9">
        <f t="shared" si="14"/>
        <v>1</v>
      </c>
    </row>
    <row r="305" spans="1:9" x14ac:dyDescent="0.25">
      <c r="A305" s="6">
        <v>16</v>
      </c>
      <c r="B305" s="7">
        <v>45</v>
      </c>
      <c r="C305" s="7">
        <v>2</v>
      </c>
      <c r="D305" s="7">
        <v>5</v>
      </c>
      <c r="E305" s="8">
        <v>1</v>
      </c>
      <c r="F305" s="9">
        <v>1</v>
      </c>
      <c r="G305" s="9">
        <f t="shared" si="12"/>
        <v>10.327000000000002</v>
      </c>
      <c r="H305" s="9">
        <f t="shared" si="13"/>
        <v>1.2955559728506802</v>
      </c>
      <c r="I305" s="9">
        <f t="shared" si="14"/>
        <v>1</v>
      </c>
    </row>
    <row r="306" spans="1:9" x14ac:dyDescent="0.25">
      <c r="A306" s="6">
        <v>12</v>
      </c>
      <c r="B306" s="7">
        <v>45</v>
      </c>
      <c r="C306" s="7">
        <v>3</v>
      </c>
      <c r="D306" s="7">
        <v>1</v>
      </c>
      <c r="E306" s="8">
        <v>2</v>
      </c>
      <c r="F306" s="9">
        <v>1</v>
      </c>
      <c r="G306" s="9">
        <f t="shared" si="12"/>
        <v>9.0299999999999994</v>
      </c>
      <c r="H306" s="9">
        <f t="shared" si="13"/>
        <v>-1.4440271493221246E-3</v>
      </c>
      <c r="I306" s="9">
        <f t="shared" si="14"/>
        <v>0</v>
      </c>
    </row>
    <row r="307" spans="1:9" x14ac:dyDescent="0.25">
      <c r="A307" s="6">
        <v>12</v>
      </c>
      <c r="B307" s="7">
        <v>45</v>
      </c>
      <c r="C307" s="7">
        <v>3</v>
      </c>
      <c r="D307" s="7">
        <v>1</v>
      </c>
      <c r="E307" s="8">
        <v>2</v>
      </c>
      <c r="F307" s="9">
        <v>1</v>
      </c>
      <c r="G307" s="9">
        <f t="shared" si="12"/>
        <v>9.0299999999999994</v>
      </c>
      <c r="H307" s="9">
        <f t="shared" si="13"/>
        <v>-1.4440271493221246E-3</v>
      </c>
      <c r="I307" s="9">
        <f t="shared" si="14"/>
        <v>0</v>
      </c>
    </row>
    <row r="308" spans="1:9" x14ac:dyDescent="0.25">
      <c r="A308" s="6">
        <v>12</v>
      </c>
      <c r="B308" s="7">
        <v>46</v>
      </c>
      <c r="C308" s="7">
        <v>2</v>
      </c>
      <c r="D308" s="7">
        <v>1</v>
      </c>
      <c r="E308" s="8">
        <v>2</v>
      </c>
      <c r="F308" s="9">
        <v>1</v>
      </c>
      <c r="G308" s="9">
        <f t="shared" si="12"/>
        <v>8.7600000000000016</v>
      </c>
      <c r="H308" s="9">
        <f t="shared" si="13"/>
        <v>-0.27144402714931992</v>
      </c>
      <c r="I308" s="9">
        <f t="shared" si="14"/>
        <v>0</v>
      </c>
    </row>
    <row r="309" spans="1:9" x14ac:dyDescent="0.25">
      <c r="A309" s="6">
        <v>12</v>
      </c>
      <c r="B309" s="7">
        <v>46</v>
      </c>
      <c r="C309" s="7">
        <v>3</v>
      </c>
      <c r="D309" s="7">
        <v>0</v>
      </c>
      <c r="E309" s="8">
        <v>2</v>
      </c>
      <c r="F309" s="9">
        <v>1</v>
      </c>
      <c r="G309" s="9">
        <f t="shared" si="12"/>
        <v>9.0990000000000002</v>
      </c>
      <c r="H309" s="9">
        <f t="shared" si="13"/>
        <v>6.7555972850678714E-2</v>
      </c>
      <c r="I309" s="9">
        <f t="shared" si="14"/>
        <v>1</v>
      </c>
    </row>
    <row r="310" spans="1:9" x14ac:dyDescent="0.25">
      <c r="A310" s="6">
        <v>16</v>
      </c>
      <c r="B310" s="7">
        <v>47</v>
      </c>
      <c r="C310" s="7">
        <v>0</v>
      </c>
      <c r="D310" s="7">
        <v>0</v>
      </c>
      <c r="E310" s="8">
        <v>2</v>
      </c>
      <c r="F310" s="9">
        <v>1</v>
      </c>
      <c r="G310" s="9">
        <f t="shared" si="12"/>
        <v>9.786999999999999</v>
      </c>
      <c r="H310" s="9">
        <f t="shared" si="13"/>
        <v>0.75555597285067755</v>
      </c>
      <c r="I310" s="9">
        <f t="shared" si="14"/>
        <v>1</v>
      </c>
    </row>
    <row r="311" spans="1:9" x14ac:dyDescent="0.25">
      <c r="A311" s="6">
        <v>15</v>
      </c>
      <c r="B311" s="7">
        <v>47</v>
      </c>
      <c r="C311" s="7">
        <v>0</v>
      </c>
      <c r="D311" s="7">
        <v>0</v>
      </c>
      <c r="E311" s="8">
        <v>2</v>
      </c>
      <c r="F311" s="9">
        <v>1</v>
      </c>
      <c r="G311" s="9">
        <f t="shared" si="12"/>
        <v>9.3780000000000001</v>
      </c>
      <c r="H311" s="9">
        <f t="shared" si="13"/>
        <v>0.34655597285067863</v>
      </c>
      <c r="I311" s="9">
        <f t="shared" si="14"/>
        <v>1</v>
      </c>
    </row>
    <row r="312" spans="1:9" x14ac:dyDescent="0.25">
      <c r="A312" s="6">
        <v>16</v>
      </c>
      <c r="B312" s="7">
        <v>47</v>
      </c>
      <c r="C312" s="7">
        <v>0</v>
      </c>
      <c r="D312" s="7">
        <v>0</v>
      </c>
      <c r="E312" s="8">
        <v>3</v>
      </c>
      <c r="F312" s="9">
        <v>1</v>
      </c>
      <c r="G312" s="9">
        <f t="shared" si="12"/>
        <v>9.786999999999999</v>
      </c>
      <c r="H312" s="9">
        <f t="shared" si="13"/>
        <v>0.75555597285067755</v>
      </c>
      <c r="I312" s="9">
        <f t="shared" si="14"/>
        <v>1</v>
      </c>
    </row>
    <row r="313" spans="1:9" x14ac:dyDescent="0.25">
      <c r="A313" s="6">
        <v>15</v>
      </c>
      <c r="B313" s="7">
        <v>47</v>
      </c>
      <c r="C313" s="7">
        <v>1</v>
      </c>
      <c r="D313" s="7">
        <v>2</v>
      </c>
      <c r="E313" s="8">
        <v>2</v>
      </c>
      <c r="F313" s="9">
        <v>1</v>
      </c>
      <c r="G313" s="9">
        <f t="shared" si="12"/>
        <v>9.7170000000000005</v>
      </c>
      <c r="H313" s="9">
        <f t="shared" si="13"/>
        <v>0.68555597285067904</v>
      </c>
      <c r="I313" s="9">
        <f t="shared" si="14"/>
        <v>1</v>
      </c>
    </row>
    <row r="314" spans="1:9" x14ac:dyDescent="0.25">
      <c r="A314" s="6">
        <v>16</v>
      </c>
      <c r="B314" s="7">
        <v>47</v>
      </c>
      <c r="C314" s="7">
        <v>1</v>
      </c>
      <c r="D314" s="7">
        <v>0</v>
      </c>
      <c r="E314" s="8">
        <v>1</v>
      </c>
      <c r="F314" s="9">
        <v>1</v>
      </c>
      <c r="G314" s="9">
        <f t="shared" si="12"/>
        <v>10.125999999999999</v>
      </c>
      <c r="H314" s="9">
        <f t="shared" si="13"/>
        <v>1.094555972850678</v>
      </c>
      <c r="I314" s="9">
        <f t="shared" si="14"/>
        <v>1</v>
      </c>
    </row>
    <row r="315" spans="1:9" x14ac:dyDescent="0.25">
      <c r="A315" s="6">
        <v>16</v>
      </c>
      <c r="B315" s="7">
        <v>47</v>
      </c>
      <c r="C315" s="7">
        <v>1</v>
      </c>
      <c r="D315" s="7">
        <v>4</v>
      </c>
      <c r="E315" s="8">
        <v>3</v>
      </c>
      <c r="F315" s="9">
        <v>1</v>
      </c>
      <c r="G315" s="9">
        <f t="shared" si="12"/>
        <v>10.125999999999999</v>
      </c>
      <c r="H315" s="9">
        <f t="shared" si="13"/>
        <v>1.094555972850678</v>
      </c>
      <c r="I315" s="9">
        <f t="shared" si="14"/>
        <v>1</v>
      </c>
    </row>
    <row r="316" spans="1:9" x14ac:dyDescent="0.25">
      <c r="A316" s="6">
        <v>12</v>
      </c>
      <c r="B316" s="7">
        <v>47</v>
      </c>
      <c r="C316" s="7">
        <v>2</v>
      </c>
      <c r="D316" s="7">
        <v>4</v>
      </c>
      <c r="E316" s="8">
        <v>4</v>
      </c>
      <c r="F316" s="9">
        <v>1</v>
      </c>
      <c r="G316" s="9">
        <f t="shared" si="12"/>
        <v>8.8290000000000006</v>
      </c>
      <c r="H316" s="9">
        <f t="shared" si="13"/>
        <v>-0.20244402714932086</v>
      </c>
      <c r="I316" s="9">
        <f t="shared" si="14"/>
        <v>0</v>
      </c>
    </row>
    <row r="317" spans="1:9" x14ac:dyDescent="0.25">
      <c r="A317" s="6">
        <v>15</v>
      </c>
      <c r="B317" s="7">
        <v>47</v>
      </c>
      <c r="C317" s="7">
        <v>2</v>
      </c>
      <c r="D317" s="7">
        <v>2</v>
      </c>
      <c r="E317" s="8">
        <v>2</v>
      </c>
      <c r="F317" s="9">
        <v>1</v>
      </c>
      <c r="G317" s="9">
        <f t="shared" si="12"/>
        <v>10.056000000000001</v>
      </c>
      <c r="H317" s="9">
        <f t="shared" si="13"/>
        <v>1.0245559728506795</v>
      </c>
      <c r="I317" s="9">
        <f t="shared" si="14"/>
        <v>1</v>
      </c>
    </row>
    <row r="318" spans="1:9" x14ac:dyDescent="0.25">
      <c r="A318" s="6">
        <v>16</v>
      </c>
      <c r="B318" s="7">
        <v>47</v>
      </c>
      <c r="C318" s="7">
        <v>2</v>
      </c>
      <c r="D318" s="7">
        <v>3</v>
      </c>
      <c r="E318" s="8">
        <v>2</v>
      </c>
      <c r="F318" s="9">
        <v>1</v>
      </c>
      <c r="G318" s="9">
        <f t="shared" si="12"/>
        <v>10.465</v>
      </c>
      <c r="H318" s="9">
        <f t="shared" si="13"/>
        <v>1.4335559728506784</v>
      </c>
      <c r="I318" s="9">
        <f t="shared" si="14"/>
        <v>1</v>
      </c>
    </row>
    <row r="319" spans="1:9" x14ac:dyDescent="0.25">
      <c r="A319" s="6">
        <v>20</v>
      </c>
      <c r="B319" s="7">
        <v>47</v>
      </c>
      <c r="C319" s="7">
        <v>2</v>
      </c>
      <c r="D319" s="7">
        <v>2</v>
      </c>
      <c r="E319" s="8">
        <v>0</v>
      </c>
      <c r="F319" s="9">
        <v>1</v>
      </c>
      <c r="G319" s="9">
        <f t="shared" si="12"/>
        <v>12.101000000000001</v>
      </c>
      <c r="H319" s="9">
        <f t="shared" si="13"/>
        <v>3.0695559728506794</v>
      </c>
      <c r="I319" s="9">
        <f t="shared" si="14"/>
        <v>1</v>
      </c>
    </row>
    <row r="320" spans="1:9" x14ac:dyDescent="0.25">
      <c r="A320" s="6">
        <v>10</v>
      </c>
      <c r="B320" s="7">
        <v>47</v>
      </c>
      <c r="C320" s="7">
        <v>3</v>
      </c>
      <c r="D320" s="7">
        <v>3</v>
      </c>
      <c r="E320" s="8">
        <v>1</v>
      </c>
      <c r="F320" s="9">
        <v>1</v>
      </c>
      <c r="G320" s="9">
        <f t="shared" si="12"/>
        <v>8.35</v>
      </c>
      <c r="H320" s="9">
        <f t="shared" si="13"/>
        <v>-0.68144402714932184</v>
      </c>
      <c r="I320" s="9">
        <f t="shared" si="14"/>
        <v>0</v>
      </c>
    </row>
    <row r="321" spans="1:9" x14ac:dyDescent="0.25">
      <c r="A321" s="6">
        <v>12</v>
      </c>
      <c r="B321" s="7">
        <v>47</v>
      </c>
      <c r="C321" s="7">
        <v>3</v>
      </c>
      <c r="D321" s="7">
        <v>0</v>
      </c>
      <c r="E321" s="8">
        <v>3</v>
      </c>
      <c r="F321" s="9">
        <v>1</v>
      </c>
      <c r="G321" s="9">
        <f t="shared" si="12"/>
        <v>9.1679999999999993</v>
      </c>
      <c r="H321" s="9">
        <f t="shared" si="13"/>
        <v>0.13655597285067778</v>
      </c>
      <c r="I321" s="9">
        <f t="shared" si="14"/>
        <v>1</v>
      </c>
    </row>
    <row r="322" spans="1:9" x14ac:dyDescent="0.25">
      <c r="A322" s="6">
        <v>16</v>
      </c>
      <c r="B322" s="7">
        <v>47</v>
      </c>
      <c r="C322" s="7">
        <v>3</v>
      </c>
      <c r="D322" s="7">
        <v>2</v>
      </c>
      <c r="E322" s="8">
        <v>1</v>
      </c>
      <c r="F322" s="9">
        <v>1</v>
      </c>
      <c r="G322" s="9">
        <f t="shared" ref="G322:G385" si="15">A322*$L$3+B322*$L$4+C322*$L$5</f>
        <v>10.803999999999998</v>
      </c>
      <c r="H322" s="9">
        <f t="shared" si="13"/>
        <v>1.772555972850677</v>
      </c>
      <c r="I322" s="9">
        <f t="shared" si="14"/>
        <v>1</v>
      </c>
    </row>
    <row r="323" spans="1:9" x14ac:dyDescent="0.25">
      <c r="A323" s="6">
        <v>10</v>
      </c>
      <c r="B323" s="7">
        <v>47</v>
      </c>
      <c r="C323" s="7">
        <v>4</v>
      </c>
      <c r="D323" s="7">
        <v>3</v>
      </c>
      <c r="E323" s="8">
        <v>2</v>
      </c>
      <c r="F323" s="9">
        <v>1</v>
      </c>
      <c r="G323" s="9">
        <f t="shared" si="15"/>
        <v>8.6890000000000001</v>
      </c>
      <c r="H323" s="9">
        <f t="shared" ref="H323:H386" si="16">G323-$L$11</f>
        <v>-0.34244402714932143</v>
      </c>
      <c r="I323" s="9">
        <f t="shared" ref="I323:I386" si="17">IF(H323&lt;0,0,1)</f>
        <v>0</v>
      </c>
    </row>
    <row r="324" spans="1:9" x14ac:dyDescent="0.25">
      <c r="A324" s="6">
        <v>11</v>
      </c>
      <c r="B324" s="7">
        <v>47</v>
      </c>
      <c r="C324" s="7">
        <v>5</v>
      </c>
      <c r="D324" s="7">
        <v>0</v>
      </c>
      <c r="E324" s="8">
        <v>2</v>
      </c>
      <c r="F324" s="9">
        <v>1</v>
      </c>
      <c r="G324" s="9">
        <f t="shared" si="15"/>
        <v>9.4369999999999994</v>
      </c>
      <c r="H324" s="9">
        <f t="shared" si="16"/>
        <v>0.4055559728506779</v>
      </c>
      <c r="I324" s="9">
        <f t="shared" si="17"/>
        <v>1</v>
      </c>
    </row>
    <row r="325" spans="1:9" x14ac:dyDescent="0.25">
      <c r="A325" s="6">
        <v>11</v>
      </c>
      <c r="B325" s="7">
        <v>47</v>
      </c>
      <c r="C325" s="7">
        <v>6</v>
      </c>
      <c r="D325" s="7">
        <v>2</v>
      </c>
      <c r="E325" s="8">
        <v>8</v>
      </c>
      <c r="F325" s="9">
        <v>1</v>
      </c>
      <c r="G325" s="9">
        <f t="shared" si="15"/>
        <v>9.7759999999999998</v>
      </c>
      <c r="H325" s="9">
        <f t="shared" si="16"/>
        <v>0.74455597285067832</v>
      </c>
      <c r="I325" s="9">
        <f t="shared" si="17"/>
        <v>1</v>
      </c>
    </row>
    <row r="326" spans="1:9" x14ac:dyDescent="0.25">
      <c r="A326" s="6">
        <v>15</v>
      </c>
      <c r="B326" s="7">
        <v>48</v>
      </c>
      <c r="C326" s="7">
        <v>1</v>
      </c>
      <c r="D326" s="7">
        <v>0</v>
      </c>
      <c r="E326" s="8">
        <v>2</v>
      </c>
      <c r="F326" s="9">
        <v>1</v>
      </c>
      <c r="G326" s="9">
        <f t="shared" si="15"/>
        <v>9.7859999999999996</v>
      </c>
      <c r="H326" s="9">
        <f t="shared" si="16"/>
        <v>0.7545559728506781</v>
      </c>
      <c r="I326" s="9">
        <f t="shared" si="17"/>
        <v>1</v>
      </c>
    </row>
    <row r="327" spans="1:9" x14ac:dyDescent="0.25">
      <c r="A327" s="6">
        <v>12</v>
      </c>
      <c r="B327" s="7">
        <v>48</v>
      </c>
      <c r="C327" s="7">
        <v>2</v>
      </c>
      <c r="D327" s="7">
        <v>1</v>
      </c>
      <c r="E327" s="8">
        <v>2</v>
      </c>
      <c r="F327" s="9">
        <v>1</v>
      </c>
      <c r="G327" s="9">
        <f t="shared" si="15"/>
        <v>8.8979999999999997</v>
      </c>
      <c r="H327" s="9">
        <f t="shared" si="16"/>
        <v>-0.1334440271493218</v>
      </c>
      <c r="I327" s="9">
        <f t="shared" si="17"/>
        <v>0</v>
      </c>
    </row>
    <row r="328" spans="1:9" x14ac:dyDescent="0.25">
      <c r="A328" s="6">
        <v>15</v>
      </c>
      <c r="B328" s="7">
        <v>48</v>
      </c>
      <c r="C328" s="7">
        <v>2</v>
      </c>
      <c r="D328" s="7">
        <v>2</v>
      </c>
      <c r="E328" s="8">
        <v>0</v>
      </c>
      <c r="F328" s="9">
        <v>1</v>
      </c>
      <c r="G328" s="9">
        <f t="shared" si="15"/>
        <v>10.125</v>
      </c>
      <c r="H328" s="9">
        <f t="shared" si="16"/>
        <v>1.0935559728506785</v>
      </c>
      <c r="I328" s="9">
        <f t="shared" si="17"/>
        <v>1</v>
      </c>
    </row>
    <row r="329" spans="1:9" x14ac:dyDescent="0.25">
      <c r="A329" s="6">
        <v>16</v>
      </c>
      <c r="B329" s="7">
        <v>48</v>
      </c>
      <c r="C329" s="7">
        <v>2</v>
      </c>
      <c r="D329" s="7">
        <v>0</v>
      </c>
      <c r="E329" s="8">
        <v>0</v>
      </c>
      <c r="F329" s="9">
        <v>1</v>
      </c>
      <c r="G329" s="9">
        <f t="shared" si="15"/>
        <v>10.534000000000001</v>
      </c>
      <c r="H329" s="9">
        <f t="shared" si="16"/>
        <v>1.5025559728506792</v>
      </c>
      <c r="I329" s="9">
        <f t="shared" si="17"/>
        <v>1</v>
      </c>
    </row>
    <row r="330" spans="1:9" x14ac:dyDescent="0.25">
      <c r="A330" s="6">
        <v>12</v>
      </c>
      <c r="B330" s="7">
        <v>48</v>
      </c>
      <c r="C330" s="7">
        <v>3</v>
      </c>
      <c r="D330" s="7">
        <v>1</v>
      </c>
      <c r="E330" s="8">
        <v>1</v>
      </c>
      <c r="F330" s="9">
        <v>1</v>
      </c>
      <c r="G330" s="9">
        <f t="shared" si="15"/>
        <v>9.2369999999999983</v>
      </c>
      <c r="H330" s="9">
        <f t="shared" si="16"/>
        <v>0.20555597285067684</v>
      </c>
      <c r="I330" s="9">
        <f t="shared" si="17"/>
        <v>1</v>
      </c>
    </row>
    <row r="331" spans="1:9" x14ac:dyDescent="0.25">
      <c r="A331" s="6">
        <v>12</v>
      </c>
      <c r="B331" s="7">
        <v>48</v>
      </c>
      <c r="C331" s="7">
        <v>4</v>
      </c>
      <c r="D331" s="7">
        <v>1</v>
      </c>
      <c r="E331" s="8">
        <v>2</v>
      </c>
      <c r="F331" s="9">
        <v>1</v>
      </c>
      <c r="G331" s="9">
        <f t="shared" si="15"/>
        <v>9.5759999999999987</v>
      </c>
      <c r="H331" s="9">
        <f t="shared" si="16"/>
        <v>0.54455597285067725</v>
      </c>
      <c r="I331" s="9">
        <f t="shared" si="17"/>
        <v>1</v>
      </c>
    </row>
    <row r="332" spans="1:9" x14ac:dyDescent="0.25">
      <c r="A332" s="6">
        <v>12</v>
      </c>
      <c r="B332" s="7">
        <v>48</v>
      </c>
      <c r="C332" s="7">
        <v>4</v>
      </c>
      <c r="D332" s="7">
        <v>3</v>
      </c>
      <c r="E332" s="8">
        <v>2</v>
      </c>
      <c r="F332" s="9">
        <v>1</v>
      </c>
      <c r="G332" s="9">
        <f t="shared" si="15"/>
        <v>9.5759999999999987</v>
      </c>
      <c r="H332" s="9">
        <f t="shared" si="16"/>
        <v>0.54455597285067725</v>
      </c>
      <c r="I332" s="9">
        <f t="shared" si="17"/>
        <v>1</v>
      </c>
    </row>
    <row r="333" spans="1:9" x14ac:dyDescent="0.25">
      <c r="A333" s="6">
        <v>15</v>
      </c>
      <c r="B333" s="7">
        <v>48</v>
      </c>
      <c r="C333" s="7">
        <v>4</v>
      </c>
      <c r="D333" s="7">
        <v>3</v>
      </c>
      <c r="E333" s="8">
        <v>2</v>
      </c>
      <c r="F333" s="9">
        <v>1</v>
      </c>
      <c r="G333" s="9">
        <f t="shared" si="15"/>
        <v>10.802999999999999</v>
      </c>
      <c r="H333" s="9">
        <f t="shared" si="16"/>
        <v>1.7715559728506776</v>
      </c>
      <c r="I333" s="9">
        <f t="shared" si="17"/>
        <v>1</v>
      </c>
    </row>
    <row r="334" spans="1:9" x14ac:dyDescent="0.25">
      <c r="A334" s="6">
        <v>15</v>
      </c>
      <c r="B334" s="7">
        <v>49</v>
      </c>
      <c r="C334" s="7">
        <v>0</v>
      </c>
      <c r="D334" s="7">
        <v>0</v>
      </c>
      <c r="E334" s="8">
        <v>1</v>
      </c>
      <c r="F334" s="9">
        <v>1</v>
      </c>
      <c r="G334" s="9">
        <f t="shared" si="15"/>
        <v>9.516</v>
      </c>
      <c r="H334" s="9">
        <f t="shared" si="16"/>
        <v>0.48455597285067853</v>
      </c>
      <c r="I334" s="9">
        <f t="shared" si="17"/>
        <v>1</v>
      </c>
    </row>
    <row r="335" spans="1:9" x14ac:dyDescent="0.25">
      <c r="A335" s="6">
        <v>12</v>
      </c>
      <c r="B335" s="7">
        <v>49</v>
      </c>
      <c r="C335" s="7">
        <v>1</v>
      </c>
      <c r="D335" s="7">
        <v>0</v>
      </c>
      <c r="E335" s="8">
        <v>0</v>
      </c>
      <c r="F335" s="9">
        <v>1</v>
      </c>
      <c r="G335" s="9">
        <f t="shared" si="15"/>
        <v>8.6280000000000001</v>
      </c>
      <c r="H335" s="9">
        <f t="shared" si="16"/>
        <v>-0.40344402714932137</v>
      </c>
      <c r="I335" s="9">
        <f t="shared" si="17"/>
        <v>0</v>
      </c>
    </row>
    <row r="336" spans="1:9" x14ac:dyDescent="0.25">
      <c r="A336" s="6">
        <v>12</v>
      </c>
      <c r="B336" s="7">
        <v>49</v>
      </c>
      <c r="C336" s="7">
        <v>1</v>
      </c>
      <c r="D336" s="7">
        <v>0</v>
      </c>
      <c r="E336" s="8">
        <v>5</v>
      </c>
      <c r="F336" s="9">
        <v>1</v>
      </c>
      <c r="G336" s="9">
        <f t="shared" si="15"/>
        <v>8.6280000000000001</v>
      </c>
      <c r="H336" s="9">
        <f t="shared" si="16"/>
        <v>-0.40344402714932137</v>
      </c>
      <c r="I336" s="9">
        <f t="shared" si="17"/>
        <v>0</v>
      </c>
    </row>
    <row r="337" spans="1:9" x14ac:dyDescent="0.25">
      <c r="A337" s="6">
        <v>13</v>
      </c>
      <c r="B337" s="7">
        <v>49</v>
      </c>
      <c r="C337" s="7">
        <v>1</v>
      </c>
      <c r="D337" s="7">
        <v>3</v>
      </c>
      <c r="E337" s="8">
        <v>0</v>
      </c>
      <c r="F337" s="9">
        <v>1</v>
      </c>
      <c r="G337" s="9">
        <f t="shared" si="15"/>
        <v>9.0370000000000008</v>
      </c>
      <c r="H337" s="9">
        <f t="shared" si="16"/>
        <v>5.5559728506793249E-3</v>
      </c>
      <c r="I337" s="9">
        <f t="shared" si="17"/>
        <v>1</v>
      </c>
    </row>
    <row r="338" spans="1:9" x14ac:dyDescent="0.25">
      <c r="A338" s="6">
        <v>13</v>
      </c>
      <c r="B338" s="7">
        <v>49</v>
      </c>
      <c r="C338" s="7">
        <v>1</v>
      </c>
      <c r="D338" s="7">
        <v>0</v>
      </c>
      <c r="E338" s="8">
        <v>1</v>
      </c>
      <c r="F338" s="9">
        <v>1</v>
      </c>
      <c r="G338" s="9">
        <f t="shared" si="15"/>
        <v>9.0370000000000008</v>
      </c>
      <c r="H338" s="9">
        <f t="shared" si="16"/>
        <v>5.5559728506793249E-3</v>
      </c>
      <c r="I338" s="9">
        <f t="shared" si="17"/>
        <v>1</v>
      </c>
    </row>
    <row r="339" spans="1:9" x14ac:dyDescent="0.25">
      <c r="A339" s="6">
        <v>15</v>
      </c>
      <c r="B339" s="7">
        <v>49</v>
      </c>
      <c r="C339" s="7">
        <v>1</v>
      </c>
      <c r="D339" s="7">
        <v>5</v>
      </c>
      <c r="E339" s="8">
        <v>0</v>
      </c>
      <c r="F339" s="9">
        <v>1</v>
      </c>
      <c r="G339" s="9">
        <f t="shared" si="15"/>
        <v>9.8550000000000004</v>
      </c>
      <c r="H339" s="9">
        <f t="shared" si="16"/>
        <v>0.82355597285067894</v>
      </c>
      <c r="I339" s="9">
        <f t="shared" si="17"/>
        <v>1</v>
      </c>
    </row>
    <row r="340" spans="1:9" x14ac:dyDescent="0.25">
      <c r="A340" s="6">
        <v>17</v>
      </c>
      <c r="B340" s="7">
        <v>49</v>
      </c>
      <c r="C340" s="7">
        <v>1</v>
      </c>
      <c r="D340" s="7">
        <v>2</v>
      </c>
      <c r="E340" s="8">
        <v>1</v>
      </c>
      <c r="F340" s="9">
        <v>1</v>
      </c>
      <c r="G340" s="9">
        <f t="shared" si="15"/>
        <v>10.673</v>
      </c>
      <c r="H340" s="9">
        <f t="shared" si="16"/>
        <v>1.6415559728506786</v>
      </c>
      <c r="I340" s="9">
        <f t="shared" si="17"/>
        <v>1</v>
      </c>
    </row>
    <row r="341" spans="1:9" x14ac:dyDescent="0.25">
      <c r="A341" s="6">
        <v>12</v>
      </c>
      <c r="B341" s="7">
        <v>49</v>
      </c>
      <c r="C341" s="7">
        <v>2</v>
      </c>
      <c r="D341" s="7">
        <v>0</v>
      </c>
      <c r="E341" s="8">
        <v>3</v>
      </c>
      <c r="F341" s="9">
        <v>1</v>
      </c>
      <c r="G341" s="9">
        <f t="shared" si="15"/>
        <v>8.9670000000000005</v>
      </c>
      <c r="H341" s="9">
        <f t="shared" si="16"/>
        <v>-6.4444027149320959E-2</v>
      </c>
      <c r="I341" s="9">
        <f t="shared" si="17"/>
        <v>0</v>
      </c>
    </row>
    <row r="342" spans="1:9" x14ac:dyDescent="0.25">
      <c r="A342" s="6">
        <v>12</v>
      </c>
      <c r="B342" s="7">
        <v>49</v>
      </c>
      <c r="C342" s="7">
        <v>3</v>
      </c>
      <c r="D342" s="7">
        <v>2</v>
      </c>
      <c r="E342" s="8">
        <v>0</v>
      </c>
      <c r="F342" s="9">
        <v>1</v>
      </c>
      <c r="G342" s="9">
        <f t="shared" si="15"/>
        <v>9.3059999999999992</v>
      </c>
      <c r="H342" s="9">
        <f t="shared" si="16"/>
        <v>0.27455597285067768</v>
      </c>
      <c r="I342" s="9">
        <f t="shared" si="17"/>
        <v>1</v>
      </c>
    </row>
    <row r="343" spans="1:9" x14ac:dyDescent="0.25">
      <c r="A343" s="6">
        <v>12</v>
      </c>
      <c r="B343" s="7">
        <v>49</v>
      </c>
      <c r="C343" s="7">
        <v>3</v>
      </c>
      <c r="D343" s="7">
        <v>3</v>
      </c>
      <c r="E343" s="8">
        <v>3</v>
      </c>
      <c r="F343" s="9">
        <v>1</v>
      </c>
      <c r="G343" s="9">
        <f t="shared" si="15"/>
        <v>9.3059999999999992</v>
      </c>
      <c r="H343" s="9">
        <f t="shared" si="16"/>
        <v>0.27455597285067768</v>
      </c>
      <c r="I343" s="9">
        <f t="shared" si="17"/>
        <v>1</v>
      </c>
    </row>
    <row r="344" spans="1:9" x14ac:dyDescent="0.25">
      <c r="A344" s="6">
        <v>12</v>
      </c>
      <c r="B344" s="7">
        <v>49</v>
      </c>
      <c r="C344" s="7">
        <v>3</v>
      </c>
      <c r="D344" s="7">
        <v>2</v>
      </c>
      <c r="E344" s="8">
        <v>3</v>
      </c>
      <c r="F344" s="9">
        <v>1</v>
      </c>
      <c r="G344" s="9">
        <f t="shared" si="15"/>
        <v>9.3059999999999992</v>
      </c>
      <c r="H344" s="9">
        <f t="shared" si="16"/>
        <v>0.27455597285067768</v>
      </c>
      <c r="I344" s="9">
        <f t="shared" si="17"/>
        <v>1</v>
      </c>
    </row>
    <row r="345" spans="1:9" x14ac:dyDescent="0.25">
      <c r="A345" s="6">
        <v>16</v>
      </c>
      <c r="B345" s="7">
        <v>49</v>
      </c>
      <c r="C345" s="7">
        <v>4</v>
      </c>
      <c r="D345" s="7">
        <v>1</v>
      </c>
      <c r="E345" s="8">
        <v>1</v>
      </c>
      <c r="F345" s="9">
        <v>1</v>
      </c>
      <c r="G345" s="9">
        <f t="shared" si="15"/>
        <v>11.281000000000001</v>
      </c>
      <c r="H345" s="9">
        <f t="shared" si="16"/>
        <v>2.2495559728506791</v>
      </c>
      <c r="I345" s="9">
        <f t="shared" si="17"/>
        <v>1</v>
      </c>
    </row>
    <row r="346" spans="1:9" x14ac:dyDescent="0.25">
      <c r="A346" s="6">
        <v>15</v>
      </c>
      <c r="B346" s="7">
        <v>50</v>
      </c>
      <c r="C346" s="7">
        <v>1</v>
      </c>
      <c r="D346" s="7">
        <v>2</v>
      </c>
      <c r="E346" s="8">
        <v>3</v>
      </c>
      <c r="F346" s="9">
        <v>0</v>
      </c>
      <c r="G346" s="9">
        <f t="shared" si="15"/>
        <v>9.9240000000000013</v>
      </c>
      <c r="H346" s="9">
        <f t="shared" si="16"/>
        <v>0.89255597285067978</v>
      </c>
      <c r="I346" s="9">
        <f t="shared" si="17"/>
        <v>1</v>
      </c>
    </row>
    <row r="347" spans="1:9" x14ac:dyDescent="0.25">
      <c r="A347" s="6">
        <v>15</v>
      </c>
      <c r="B347" s="7">
        <v>50</v>
      </c>
      <c r="C347" s="7">
        <v>1</v>
      </c>
      <c r="D347" s="7">
        <v>2</v>
      </c>
      <c r="E347" s="8">
        <v>2</v>
      </c>
      <c r="F347" s="9">
        <v>1</v>
      </c>
      <c r="G347" s="9">
        <f t="shared" si="15"/>
        <v>9.9240000000000013</v>
      </c>
      <c r="H347" s="9">
        <f t="shared" si="16"/>
        <v>0.89255597285067978</v>
      </c>
      <c r="I347" s="9">
        <f t="shared" si="17"/>
        <v>1</v>
      </c>
    </row>
    <row r="348" spans="1:9" x14ac:dyDescent="0.25">
      <c r="A348" s="6">
        <v>15</v>
      </c>
      <c r="B348" s="7">
        <v>50</v>
      </c>
      <c r="C348" s="7">
        <v>1</v>
      </c>
      <c r="D348" s="7">
        <v>4</v>
      </c>
      <c r="E348" s="8">
        <v>1</v>
      </c>
      <c r="F348" s="9">
        <v>1</v>
      </c>
      <c r="G348" s="9">
        <f t="shared" si="15"/>
        <v>9.9240000000000013</v>
      </c>
      <c r="H348" s="9">
        <f t="shared" si="16"/>
        <v>0.89255597285067978</v>
      </c>
      <c r="I348" s="9">
        <f t="shared" si="17"/>
        <v>1</v>
      </c>
    </row>
    <row r="349" spans="1:9" x14ac:dyDescent="0.25">
      <c r="A349" s="6">
        <v>15</v>
      </c>
      <c r="B349" s="7">
        <v>50</v>
      </c>
      <c r="C349" s="7">
        <v>2</v>
      </c>
      <c r="D349" s="7">
        <v>0</v>
      </c>
      <c r="E349" s="8">
        <v>3</v>
      </c>
      <c r="F349" s="9">
        <v>1</v>
      </c>
      <c r="G349" s="9">
        <f t="shared" si="15"/>
        <v>10.263000000000002</v>
      </c>
      <c r="H349" s="9">
        <f t="shared" si="16"/>
        <v>1.2315559728506802</v>
      </c>
      <c r="I349" s="9">
        <f t="shared" si="17"/>
        <v>1</v>
      </c>
    </row>
    <row r="350" spans="1:9" x14ac:dyDescent="0.25">
      <c r="A350" s="6">
        <v>15</v>
      </c>
      <c r="B350" s="7">
        <v>50</v>
      </c>
      <c r="C350" s="7">
        <v>2</v>
      </c>
      <c r="D350" s="7">
        <v>1</v>
      </c>
      <c r="E350" s="8">
        <v>1</v>
      </c>
      <c r="F350" s="9">
        <v>1</v>
      </c>
      <c r="G350" s="9">
        <f t="shared" si="15"/>
        <v>10.263000000000002</v>
      </c>
      <c r="H350" s="9">
        <f t="shared" si="16"/>
        <v>1.2315559728506802</v>
      </c>
      <c r="I350" s="9">
        <f t="shared" si="17"/>
        <v>1</v>
      </c>
    </row>
    <row r="351" spans="1:9" x14ac:dyDescent="0.25">
      <c r="A351" s="6">
        <v>16</v>
      </c>
      <c r="B351" s="7">
        <v>50</v>
      </c>
      <c r="C351" s="7">
        <v>2</v>
      </c>
      <c r="D351" s="7">
        <v>1</v>
      </c>
      <c r="E351" s="8">
        <v>4</v>
      </c>
      <c r="F351" s="9">
        <v>1</v>
      </c>
      <c r="G351" s="9">
        <f t="shared" si="15"/>
        <v>10.672000000000001</v>
      </c>
      <c r="H351" s="9">
        <f t="shared" si="16"/>
        <v>1.6405559728506791</v>
      </c>
      <c r="I351" s="9">
        <f t="shared" si="17"/>
        <v>1</v>
      </c>
    </row>
    <row r="352" spans="1:9" x14ac:dyDescent="0.25">
      <c r="A352" s="6">
        <v>16</v>
      </c>
      <c r="B352" s="7">
        <v>50</v>
      </c>
      <c r="C352" s="7">
        <v>2</v>
      </c>
      <c r="D352" s="7">
        <v>1</v>
      </c>
      <c r="E352" s="8">
        <v>0</v>
      </c>
      <c r="F352" s="9">
        <v>1</v>
      </c>
      <c r="G352" s="9">
        <f t="shared" si="15"/>
        <v>10.672000000000001</v>
      </c>
      <c r="H352" s="9">
        <f t="shared" si="16"/>
        <v>1.6405559728506791</v>
      </c>
      <c r="I352" s="9">
        <f t="shared" si="17"/>
        <v>1</v>
      </c>
    </row>
    <row r="353" spans="1:9" x14ac:dyDescent="0.25">
      <c r="A353" s="6">
        <v>17</v>
      </c>
      <c r="B353" s="7">
        <v>50</v>
      </c>
      <c r="C353" s="7">
        <v>2</v>
      </c>
      <c r="D353" s="7">
        <v>0</v>
      </c>
      <c r="E353" s="8">
        <v>3</v>
      </c>
      <c r="F353" s="9">
        <v>1</v>
      </c>
      <c r="G353" s="9">
        <f t="shared" si="15"/>
        <v>11.081</v>
      </c>
      <c r="H353" s="9">
        <f t="shared" si="16"/>
        <v>2.049555972850678</v>
      </c>
      <c r="I353" s="9">
        <f t="shared" si="17"/>
        <v>1</v>
      </c>
    </row>
    <row r="354" spans="1:9" x14ac:dyDescent="0.25">
      <c r="A354" s="6">
        <v>12</v>
      </c>
      <c r="B354" s="7">
        <v>50</v>
      </c>
      <c r="C354" s="7">
        <v>3</v>
      </c>
      <c r="D354" s="7">
        <v>0</v>
      </c>
      <c r="E354" s="8">
        <v>3</v>
      </c>
      <c r="F354" s="9">
        <v>1</v>
      </c>
      <c r="G354" s="9">
        <f t="shared" si="15"/>
        <v>9.375</v>
      </c>
      <c r="H354" s="9">
        <f t="shared" si="16"/>
        <v>0.34355597285067851</v>
      </c>
      <c r="I354" s="9">
        <f t="shared" si="17"/>
        <v>1</v>
      </c>
    </row>
    <row r="355" spans="1:9" x14ac:dyDescent="0.25">
      <c r="A355" s="6">
        <v>12</v>
      </c>
      <c r="B355" s="7">
        <v>50</v>
      </c>
      <c r="C355" s="7">
        <v>4</v>
      </c>
      <c r="D355" s="7">
        <v>1</v>
      </c>
      <c r="E355" s="8">
        <v>1</v>
      </c>
      <c r="F355" s="9">
        <v>1</v>
      </c>
      <c r="G355" s="9">
        <f t="shared" si="15"/>
        <v>9.7140000000000004</v>
      </c>
      <c r="H355" s="9">
        <f t="shared" si="16"/>
        <v>0.68255597285067893</v>
      </c>
      <c r="I355" s="9">
        <f t="shared" si="17"/>
        <v>1</v>
      </c>
    </row>
    <row r="356" spans="1:9" x14ac:dyDescent="0.25">
      <c r="A356" s="6">
        <v>12</v>
      </c>
      <c r="B356" s="7">
        <v>51</v>
      </c>
      <c r="C356" s="7">
        <v>0</v>
      </c>
      <c r="D356" s="7">
        <v>4</v>
      </c>
      <c r="E356" s="8">
        <v>2</v>
      </c>
      <c r="F356" s="9">
        <v>1</v>
      </c>
      <c r="G356" s="9">
        <f t="shared" si="15"/>
        <v>8.4269999999999996</v>
      </c>
      <c r="H356" s="9">
        <f t="shared" si="16"/>
        <v>-0.60444402714932188</v>
      </c>
      <c r="I356" s="9">
        <f t="shared" si="17"/>
        <v>0</v>
      </c>
    </row>
    <row r="357" spans="1:9" x14ac:dyDescent="0.25">
      <c r="A357" s="6">
        <v>15</v>
      </c>
      <c r="B357" s="7">
        <v>51</v>
      </c>
      <c r="C357" s="7">
        <v>3</v>
      </c>
      <c r="D357" s="7">
        <v>0</v>
      </c>
      <c r="E357" s="8">
        <v>7</v>
      </c>
      <c r="F357" s="9">
        <v>1</v>
      </c>
      <c r="G357" s="9">
        <f t="shared" si="15"/>
        <v>10.670999999999999</v>
      </c>
      <c r="H357" s="9">
        <f t="shared" si="16"/>
        <v>1.6395559728506779</v>
      </c>
      <c r="I357" s="9">
        <f t="shared" si="17"/>
        <v>1</v>
      </c>
    </row>
    <row r="358" spans="1:9" x14ac:dyDescent="0.25">
      <c r="A358" s="6">
        <v>15</v>
      </c>
      <c r="B358" s="7">
        <v>51</v>
      </c>
      <c r="C358" s="7">
        <v>3</v>
      </c>
      <c r="D358" s="7">
        <v>1</v>
      </c>
      <c r="E358" s="8">
        <v>7</v>
      </c>
      <c r="F358" s="9">
        <v>1</v>
      </c>
      <c r="G358" s="9">
        <f t="shared" si="15"/>
        <v>10.670999999999999</v>
      </c>
      <c r="H358" s="9">
        <f t="shared" si="16"/>
        <v>1.6395559728506779</v>
      </c>
      <c r="I358" s="9">
        <f t="shared" si="17"/>
        <v>1</v>
      </c>
    </row>
    <row r="359" spans="1:9" x14ac:dyDescent="0.25">
      <c r="A359" s="6">
        <v>16</v>
      </c>
      <c r="B359" s="7">
        <v>51</v>
      </c>
      <c r="C359" s="7">
        <v>3</v>
      </c>
      <c r="D359" s="7">
        <v>1</v>
      </c>
      <c r="E359" s="8">
        <v>0</v>
      </c>
      <c r="F359" s="9">
        <v>1</v>
      </c>
      <c r="G359" s="9">
        <f t="shared" si="15"/>
        <v>11.079999999999998</v>
      </c>
      <c r="H359" s="9">
        <f t="shared" si="16"/>
        <v>2.0485559728506768</v>
      </c>
      <c r="I359" s="9">
        <f t="shared" si="17"/>
        <v>1</v>
      </c>
    </row>
    <row r="360" spans="1:9" x14ac:dyDescent="0.25">
      <c r="A360" s="6">
        <v>16</v>
      </c>
      <c r="B360" s="7">
        <v>52</v>
      </c>
      <c r="C360" s="7">
        <v>0</v>
      </c>
      <c r="D360" s="7">
        <v>1</v>
      </c>
      <c r="E360" s="8">
        <v>6</v>
      </c>
      <c r="F360" s="9">
        <v>1</v>
      </c>
      <c r="G360" s="9">
        <f t="shared" si="15"/>
        <v>10.132</v>
      </c>
      <c r="H360" s="9">
        <f t="shared" si="16"/>
        <v>1.1005559728506782</v>
      </c>
      <c r="I360" s="9">
        <f t="shared" si="17"/>
        <v>1</v>
      </c>
    </row>
    <row r="361" spans="1:9" x14ac:dyDescent="0.25">
      <c r="A361" s="6">
        <v>16</v>
      </c>
      <c r="B361" s="7">
        <v>52</v>
      </c>
      <c r="C361" s="7">
        <v>1</v>
      </c>
      <c r="D361" s="7">
        <v>4</v>
      </c>
      <c r="E361" s="8">
        <v>4</v>
      </c>
      <c r="F361" s="9">
        <v>1</v>
      </c>
      <c r="G361" s="9">
        <f t="shared" si="15"/>
        <v>10.471</v>
      </c>
      <c r="H361" s="9">
        <f t="shared" si="16"/>
        <v>1.4395559728506786</v>
      </c>
      <c r="I361" s="9">
        <f t="shared" si="17"/>
        <v>1</v>
      </c>
    </row>
    <row r="362" spans="1:9" x14ac:dyDescent="0.25">
      <c r="A362" s="6">
        <v>12</v>
      </c>
      <c r="B362" s="7">
        <v>52</v>
      </c>
      <c r="C362" s="7">
        <v>2</v>
      </c>
      <c r="D362" s="7">
        <v>3</v>
      </c>
      <c r="E362" s="8">
        <v>6</v>
      </c>
      <c r="F362" s="9">
        <v>1</v>
      </c>
      <c r="G362" s="9">
        <f t="shared" si="15"/>
        <v>9.1739999999999995</v>
      </c>
      <c r="H362" s="9">
        <f t="shared" si="16"/>
        <v>0.142555972850678</v>
      </c>
      <c r="I362" s="9">
        <f t="shared" si="17"/>
        <v>1</v>
      </c>
    </row>
    <row r="363" spans="1:9" x14ac:dyDescent="0.25">
      <c r="A363" s="6">
        <v>16</v>
      </c>
      <c r="B363" s="7">
        <v>52</v>
      </c>
      <c r="C363" s="7">
        <v>2</v>
      </c>
      <c r="D363" s="7">
        <v>1</v>
      </c>
      <c r="E363" s="8">
        <v>2</v>
      </c>
      <c r="F363" s="9">
        <v>1</v>
      </c>
      <c r="G363" s="9">
        <f t="shared" si="15"/>
        <v>10.81</v>
      </c>
      <c r="H363" s="9">
        <f t="shared" si="16"/>
        <v>1.778555972850679</v>
      </c>
      <c r="I363" s="9">
        <f t="shared" si="17"/>
        <v>1</v>
      </c>
    </row>
    <row r="364" spans="1:9" x14ac:dyDescent="0.25">
      <c r="A364" s="6">
        <v>16</v>
      </c>
      <c r="B364" s="7">
        <v>52</v>
      </c>
      <c r="C364" s="7">
        <v>2</v>
      </c>
      <c r="D364" s="7">
        <v>2</v>
      </c>
      <c r="E364" s="8">
        <v>2</v>
      </c>
      <c r="F364" s="9">
        <v>1</v>
      </c>
      <c r="G364" s="9">
        <f t="shared" si="15"/>
        <v>10.81</v>
      </c>
      <c r="H364" s="9">
        <f t="shared" si="16"/>
        <v>1.778555972850679</v>
      </c>
      <c r="I364" s="9">
        <f t="shared" si="17"/>
        <v>1</v>
      </c>
    </row>
    <row r="365" spans="1:9" x14ac:dyDescent="0.25">
      <c r="A365" s="6">
        <v>5</v>
      </c>
      <c r="B365" s="7">
        <v>52</v>
      </c>
      <c r="C365" s="7">
        <v>3</v>
      </c>
      <c r="D365" s="7">
        <v>0</v>
      </c>
      <c r="E365" s="8">
        <v>6</v>
      </c>
      <c r="F365" s="9">
        <v>1</v>
      </c>
      <c r="G365" s="9">
        <f t="shared" si="15"/>
        <v>6.65</v>
      </c>
      <c r="H365" s="9">
        <f t="shared" si="16"/>
        <v>-2.3814440271493211</v>
      </c>
      <c r="I365" s="9">
        <f t="shared" si="17"/>
        <v>0</v>
      </c>
    </row>
    <row r="366" spans="1:9" x14ac:dyDescent="0.25">
      <c r="A366" s="6">
        <v>12</v>
      </c>
      <c r="B366" s="7">
        <v>52</v>
      </c>
      <c r="C366" s="7">
        <v>3</v>
      </c>
      <c r="D366" s="7">
        <v>3</v>
      </c>
      <c r="E366" s="8">
        <v>0</v>
      </c>
      <c r="F366" s="9">
        <v>1</v>
      </c>
      <c r="G366" s="9">
        <f t="shared" si="15"/>
        <v>9.5129999999999981</v>
      </c>
      <c r="H366" s="9">
        <f t="shared" si="16"/>
        <v>0.48155597285067664</v>
      </c>
      <c r="I366" s="9">
        <f t="shared" si="17"/>
        <v>1</v>
      </c>
    </row>
    <row r="367" spans="1:9" x14ac:dyDescent="0.25">
      <c r="A367" s="6">
        <v>13</v>
      </c>
      <c r="B367" s="7">
        <v>52</v>
      </c>
      <c r="C367" s="7">
        <v>3</v>
      </c>
      <c r="D367" s="7">
        <v>2</v>
      </c>
      <c r="E367" s="8">
        <v>3</v>
      </c>
      <c r="F367" s="9">
        <v>1</v>
      </c>
      <c r="G367" s="9">
        <f t="shared" si="15"/>
        <v>9.9219999999999988</v>
      </c>
      <c r="H367" s="9">
        <f t="shared" si="16"/>
        <v>0.89055597285067734</v>
      </c>
      <c r="I367" s="9">
        <f t="shared" si="17"/>
        <v>1</v>
      </c>
    </row>
    <row r="368" spans="1:9" x14ac:dyDescent="0.25">
      <c r="A368" s="6">
        <v>8</v>
      </c>
      <c r="B368" s="7">
        <v>52</v>
      </c>
      <c r="C368" s="7">
        <v>4</v>
      </c>
      <c r="D368" s="7">
        <v>0</v>
      </c>
      <c r="E368" s="8">
        <v>6</v>
      </c>
      <c r="F368" s="9">
        <v>1</v>
      </c>
      <c r="G368" s="9">
        <f t="shared" si="15"/>
        <v>8.2159999999999993</v>
      </c>
      <c r="H368" s="9">
        <f t="shared" si="16"/>
        <v>-0.81544402714932218</v>
      </c>
      <c r="I368" s="9">
        <f t="shared" si="17"/>
        <v>0</v>
      </c>
    </row>
    <row r="369" spans="1:9" x14ac:dyDescent="0.25">
      <c r="A369" s="6">
        <v>12</v>
      </c>
      <c r="B369" s="7">
        <v>52</v>
      </c>
      <c r="C369" s="7">
        <v>4</v>
      </c>
      <c r="D369" s="7">
        <v>0</v>
      </c>
      <c r="E369" s="8">
        <v>3</v>
      </c>
      <c r="F369" s="9">
        <v>1</v>
      </c>
      <c r="G369" s="9">
        <f t="shared" si="15"/>
        <v>9.8519999999999985</v>
      </c>
      <c r="H369" s="9">
        <f t="shared" si="16"/>
        <v>0.82055597285067705</v>
      </c>
      <c r="I369" s="9">
        <f t="shared" si="17"/>
        <v>1</v>
      </c>
    </row>
    <row r="370" spans="1:9" x14ac:dyDescent="0.25">
      <c r="A370" s="6">
        <v>12</v>
      </c>
      <c r="B370" s="7">
        <v>53</v>
      </c>
      <c r="C370" s="7">
        <v>0</v>
      </c>
      <c r="D370" s="7">
        <v>0</v>
      </c>
      <c r="E370" s="8">
        <v>4</v>
      </c>
      <c r="F370" s="9">
        <v>0</v>
      </c>
      <c r="G370" s="9">
        <f t="shared" si="15"/>
        <v>8.5649999999999995</v>
      </c>
      <c r="H370" s="9">
        <f t="shared" si="16"/>
        <v>-0.46644402714932198</v>
      </c>
      <c r="I370" s="9">
        <f t="shared" si="17"/>
        <v>0</v>
      </c>
    </row>
    <row r="371" spans="1:9" x14ac:dyDescent="0.25">
      <c r="A371" s="6">
        <v>10</v>
      </c>
      <c r="B371" s="7">
        <v>53</v>
      </c>
      <c r="C371" s="7">
        <v>2</v>
      </c>
      <c r="D371" s="7">
        <v>1</v>
      </c>
      <c r="E371" s="8">
        <v>2</v>
      </c>
      <c r="F371" s="9">
        <v>1</v>
      </c>
      <c r="G371" s="9">
        <f t="shared" si="15"/>
        <v>8.4250000000000007</v>
      </c>
      <c r="H371" s="9">
        <f t="shared" si="16"/>
        <v>-0.60644402714932077</v>
      </c>
      <c r="I371" s="9">
        <f t="shared" si="17"/>
        <v>0</v>
      </c>
    </row>
    <row r="372" spans="1:9" x14ac:dyDescent="0.25">
      <c r="A372" s="6">
        <v>12</v>
      </c>
      <c r="B372" s="7">
        <v>53</v>
      </c>
      <c r="C372" s="7">
        <v>4</v>
      </c>
      <c r="D372" s="7">
        <v>1</v>
      </c>
      <c r="E372" s="8">
        <v>4</v>
      </c>
      <c r="F372" s="9">
        <v>1</v>
      </c>
      <c r="G372" s="9">
        <f t="shared" si="15"/>
        <v>9.9209999999999994</v>
      </c>
      <c r="H372" s="9">
        <f t="shared" si="16"/>
        <v>0.88955597285067789</v>
      </c>
      <c r="I372" s="9">
        <f t="shared" si="17"/>
        <v>1</v>
      </c>
    </row>
    <row r="373" spans="1:9" x14ac:dyDescent="0.25">
      <c r="A373" s="6">
        <v>10</v>
      </c>
      <c r="B373" s="7">
        <v>54</v>
      </c>
      <c r="C373" s="7">
        <v>1</v>
      </c>
      <c r="D373" s="7">
        <v>1</v>
      </c>
      <c r="E373" s="8">
        <v>4</v>
      </c>
      <c r="F373" s="9">
        <v>1</v>
      </c>
      <c r="G373" s="9">
        <f t="shared" si="15"/>
        <v>8.1550000000000011</v>
      </c>
      <c r="H373" s="9">
        <f t="shared" si="16"/>
        <v>-0.87644402714932035</v>
      </c>
      <c r="I373" s="9">
        <f t="shared" si="17"/>
        <v>0</v>
      </c>
    </row>
    <row r="374" spans="1:9" x14ac:dyDescent="0.25">
      <c r="A374" s="6">
        <v>15</v>
      </c>
      <c r="B374" s="7">
        <v>54</v>
      </c>
      <c r="C374" s="7">
        <v>3</v>
      </c>
      <c r="D374" s="7">
        <v>0</v>
      </c>
      <c r="E374" s="8">
        <v>2</v>
      </c>
      <c r="F374" s="9">
        <v>1</v>
      </c>
      <c r="G374" s="9">
        <f t="shared" si="15"/>
        <v>10.878</v>
      </c>
      <c r="H374" s="9">
        <f t="shared" si="16"/>
        <v>1.8465559728506786</v>
      </c>
      <c r="I374" s="9">
        <f t="shared" si="17"/>
        <v>1</v>
      </c>
    </row>
    <row r="375" spans="1:9" x14ac:dyDescent="0.25">
      <c r="A375" s="6">
        <v>15</v>
      </c>
      <c r="B375" s="7">
        <v>54</v>
      </c>
      <c r="C375" s="7">
        <v>4</v>
      </c>
      <c r="D375" s="7">
        <v>0</v>
      </c>
      <c r="E375" s="8">
        <v>0</v>
      </c>
      <c r="F375" s="9">
        <v>1</v>
      </c>
      <c r="G375" s="9">
        <f t="shared" si="15"/>
        <v>11.217000000000001</v>
      </c>
      <c r="H375" s="9">
        <f t="shared" si="16"/>
        <v>2.185555972850679</v>
      </c>
      <c r="I375" s="9">
        <f t="shared" si="17"/>
        <v>1</v>
      </c>
    </row>
    <row r="376" spans="1:9" x14ac:dyDescent="0.25">
      <c r="A376" s="6">
        <v>10</v>
      </c>
      <c r="B376" s="7">
        <v>55</v>
      </c>
      <c r="C376" s="7">
        <v>0</v>
      </c>
      <c r="D376" s="7">
        <v>1</v>
      </c>
      <c r="E376" s="8">
        <v>1</v>
      </c>
      <c r="F376" s="9">
        <v>1</v>
      </c>
      <c r="G376" s="9">
        <f t="shared" si="15"/>
        <v>7.8849999999999998</v>
      </c>
      <c r="H376" s="9">
        <f t="shared" si="16"/>
        <v>-1.1464440271493217</v>
      </c>
      <c r="I376" s="9">
        <f t="shared" si="17"/>
        <v>0</v>
      </c>
    </row>
    <row r="377" spans="1:9" x14ac:dyDescent="0.25">
      <c r="A377" s="6">
        <v>12</v>
      </c>
      <c r="B377" s="7">
        <v>55</v>
      </c>
      <c r="C377" s="7">
        <v>3</v>
      </c>
      <c r="D377" s="7">
        <v>0</v>
      </c>
      <c r="E377" s="8">
        <v>3</v>
      </c>
      <c r="F377" s="9">
        <v>1</v>
      </c>
      <c r="G377" s="9">
        <f t="shared" si="15"/>
        <v>9.7199999999999989</v>
      </c>
      <c r="H377" s="9">
        <f t="shared" si="16"/>
        <v>0.68855597285067738</v>
      </c>
      <c r="I377" s="9">
        <f t="shared" si="17"/>
        <v>1</v>
      </c>
    </row>
    <row r="378" spans="1:9" x14ac:dyDescent="0.25">
      <c r="A378" s="6">
        <v>12</v>
      </c>
      <c r="B378" s="7">
        <v>57</v>
      </c>
      <c r="C378" s="7">
        <v>1</v>
      </c>
      <c r="D378" s="7">
        <v>0</v>
      </c>
      <c r="E378" s="8">
        <v>4</v>
      </c>
      <c r="F378" s="9">
        <v>1</v>
      </c>
      <c r="G378" s="9">
        <f t="shared" si="15"/>
        <v>9.18</v>
      </c>
      <c r="H378" s="9">
        <f t="shared" si="16"/>
        <v>0.14855597285067823</v>
      </c>
      <c r="I378" s="9">
        <f t="shared" si="17"/>
        <v>1</v>
      </c>
    </row>
    <row r="379" spans="1:9" x14ac:dyDescent="0.25">
      <c r="A379" s="6">
        <v>11</v>
      </c>
      <c r="B379" s="7">
        <v>57</v>
      </c>
      <c r="C379" s="7">
        <v>3</v>
      </c>
      <c r="D379" s="7">
        <v>0</v>
      </c>
      <c r="E379" s="8">
        <v>4</v>
      </c>
      <c r="F379" s="9">
        <v>1</v>
      </c>
      <c r="G379" s="9">
        <f t="shared" si="15"/>
        <v>9.4489999999999998</v>
      </c>
      <c r="H379" s="9">
        <f t="shared" si="16"/>
        <v>0.41755597285067836</v>
      </c>
      <c r="I379" s="9">
        <f t="shared" si="17"/>
        <v>1</v>
      </c>
    </row>
    <row r="380" spans="1:9" x14ac:dyDescent="0.25">
      <c r="A380" s="6">
        <v>12</v>
      </c>
      <c r="B380" s="7">
        <v>57</v>
      </c>
      <c r="C380" s="7">
        <v>3</v>
      </c>
      <c r="D380" s="7">
        <v>2</v>
      </c>
      <c r="E380" s="8">
        <v>1</v>
      </c>
      <c r="F380" s="9">
        <v>1</v>
      </c>
      <c r="G380" s="9">
        <f t="shared" si="15"/>
        <v>9.8579999999999988</v>
      </c>
      <c r="H380" s="9">
        <f t="shared" si="16"/>
        <v>0.82655597285067728</v>
      </c>
      <c r="I380" s="9">
        <f t="shared" si="17"/>
        <v>1</v>
      </c>
    </row>
    <row r="381" spans="1:9" x14ac:dyDescent="0.25">
      <c r="A381" s="6">
        <v>12</v>
      </c>
      <c r="B381" s="7">
        <v>57</v>
      </c>
      <c r="C381" s="7">
        <v>4</v>
      </c>
      <c r="D381" s="7">
        <v>4</v>
      </c>
      <c r="E381" s="8">
        <v>3</v>
      </c>
      <c r="F381" s="9">
        <v>1</v>
      </c>
      <c r="G381" s="9">
        <f t="shared" si="15"/>
        <v>10.196999999999999</v>
      </c>
      <c r="H381" s="9">
        <f t="shared" si="16"/>
        <v>1.1655559728506777</v>
      </c>
      <c r="I381" s="9">
        <f t="shared" si="17"/>
        <v>1</v>
      </c>
    </row>
    <row r="382" spans="1:9" x14ac:dyDescent="0.25">
      <c r="A382" s="6">
        <v>13</v>
      </c>
      <c r="B382" s="7">
        <v>57</v>
      </c>
      <c r="C382" s="7">
        <v>4</v>
      </c>
      <c r="D382" s="7">
        <v>1</v>
      </c>
      <c r="E382" s="8">
        <v>2</v>
      </c>
      <c r="F382" s="9">
        <v>1</v>
      </c>
      <c r="G382" s="9">
        <f t="shared" si="15"/>
        <v>10.606</v>
      </c>
      <c r="H382" s="9">
        <f t="shared" si="16"/>
        <v>1.5745559728506784</v>
      </c>
      <c r="I382" s="9">
        <f t="shared" si="17"/>
        <v>1</v>
      </c>
    </row>
    <row r="383" spans="1:9" x14ac:dyDescent="0.25">
      <c r="A383" s="6">
        <v>12</v>
      </c>
      <c r="B383" s="7">
        <v>58</v>
      </c>
      <c r="C383" s="7">
        <v>2</v>
      </c>
      <c r="D383" s="7">
        <v>2</v>
      </c>
      <c r="E383" s="8">
        <v>3</v>
      </c>
      <c r="F383" s="9">
        <v>1</v>
      </c>
      <c r="G383" s="9">
        <f t="shared" si="15"/>
        <v>9.588000000000001</v>
      </c>
      <c r="H383" s="9">
        <f t="shared" si="16"/>
        <v>0.55655597285067948</v>
      </c>
      <c r="I383" s="9">
        <f t="shared" si="17"/>
        <v>1</v>
      </c>
    </row>
    <row r="384" spans="1:9" x14ac:dyDescent="0.25">
      <c r="A384" s="6">
        <v>10</v>
      </c>
      <c r="B384" s="7">
        <v>58</v>
      </c>
      <c r="C384" s="7">
        <v>3</v>
      </c>
      <c r="D384" s="7">
        <v>1</v>
      </c>
      <c r="E384" s="8">
        <v>1</v>
      </c>
      <c r="F384" s="9">
        <v>1</v>
      </c>
      <c r="G384" s="9">
        <f t="shared" si="15"/>
        <v>9.109</v>
      </c>
      <c r="H384" s="9">
        <f t="shared" si="16"/>
        <v>7.7555972850678501E-2</v>
      </c>
      <c r="I384" s="9">
        <f t="shared" si="17"/>
        <v>1</v>
      </c>
    </row>
    <row r="385" spans="1:9" x14ac:dyDescent="0.25">
      <c r="A385" s="6">
        <v>11</v>
      </c>
      <c r="B385" s="7">
        <v>58</v>
      </c>
      <c r="C385" s="7">
        <v>3</v>
      </c>
      <c r="D385" s="7">
        <v>1</v>
      </c>
      <c r="E385" s="8">
        <v>2</v>
      </c>
      <c r="F385" s="9">
        <v>1</v>
      </c>
      <c r="G385" s="9">
        <f t="shared" si="15"/>
        <v>9.5180000000000007</v>
      </c>
      <c r="H385" s="9">
        <f t="shared" si="16"/>
        <v>0.4865559728506792</v>
      </c>
      <c r="I385" s="9">
        <f t="shared" si="17"/>
        <v>1</v>
      </c>
    </row>
    <row r="386" spans="1:9" x14ac:dyDescent="0.25">
      <c r="A386" s="6">
        <v>16</v>
      </c>
      <c r="B386" s="7">
        <v>58</v>
      </c>
      <c r="C386" s="7">
        <v>3</v>
      </c>
      <c r="D386" s="7">
        <v>1</v>
      </c>
      <c r="E386" s="8">
        <v>3</v>
      </c>
      <c r="F386" s="9">
        <v>1</v>
      </c>
      <c r="G386" s="9">
        <f t="shared" ref="G386:G443" si="18">A386*$L$3+B386*$L$4+C386*$L$5</f>
        <v>11.562999999999999</v>
      </c>
      <c r="H386" s="9">
        <f t="shared" si="16"/>
        <v>2.5315559728506773</v>
      </c>
      <c r="I386" s="9">
        <f t="shared" si="17"/>
        <v>1</v>
      </c>
    </row>
    <row r="387" spans="1:9" x14ac:dyDescent="0.25">
      <c r="A387" s="6">
        <v>8</v>
      </c>
      <c r="B387" s="7">
        <v>59</v>
      </c>
      <c r="C387" s="7">
        <v>2</v>
      </c>
      <c r="D387" s="7">
        <v>1</v>
      </c>
      <c r="E387" s="8">
        <v>4</v>
      </c>
      <c r="F387" s="9">
        <v>1</v>
      </c>
      <c r="G387" s="9">
        <f t="shared" si="18"/>
        <v>8.0210000000000008</v>
      </c>
      <c r="H387" s="9">
        <f t="shared" ref="H387:H443" si="19">G387-$L$11</f>
        <v>-1.0104440271493207</v>
      </c>
      <c r="I387" s="9">
        <f t="shared" ref="I387:I443" si="20">IF(H387&lt;0,0,1)</f>
        <v>0</v>
      </c>
    </row>
    <row r="388" spans="1:9" x14ac:dyDescent="0.25">
      <c r="A388" s="6">
        <v>12</v>
      </c>
      <c r="B388" s="7">
        <v>59</v>
      </c>
      <c r="C388" s="7">
        <v>2</v>
      </c>
      <c r="D388" s="7">
        <v>0</v>
      </c>
      <c r="E388" s="8">
        <v>4</v>
      </c>
      <c r="F388" s="9">
        <v>1</v>
      </c>
      <c r="G388" s="9">
        <f t="shared" si="18"/>
        <v>9.657</v>
      </c>
      <c r="H388" s="9">
        <f t="shared" si="19"/>
        <v>0.62555597285067854</v>
      </c>
      <c r="I388" s="9">
        <f t="shared" si="20"/>
        <v>1</v>
      </c>
    </row>
    <row r="389" spans="1:9" x14ac:dyDescent="0.25">
      <c r="A389" s="6">
        <v>15</v>
      </c>
      <c r="B389" s="7">
        <v>59</v>
      </c>
      <c r="C389" s="7">
        <v>4</v>
      </c>
      <c r="D389" s="7">
        <v>1</v>
      </c>
      <c r="E389" s="8">
        <v>4</v>
      </c>
      <c r="F389" s="9">
        <v>1</v>
      </c>
      <c r="G389" s="9">
        <f t="shared" si="18"/>
        <v>11.561999999999999</v>
      </c>
      <c r="H389" s="9">
        <f t="shared" si="19"/>
        <v>2.5305559728506779</v>
      </c>
      <c r="I389" s="9">
        <f t="shared" si="20"/>
        <v>1</v>
      </c>
    </row>
    <row r="390" spans="1:9" x14ac:dyDescent="0.25">
      <c r="A390" s="6">
        <v>16</v>
      </c>
      <c r="B390" s="7">
        <v>59</v>
      </c>
      <c r="C390" s="7">
        <v>5</v>
      </c>
      <c r="D390" s="7">
        <v>0</v>
      </c>
      <c r="E390" s="8">
        <v>0</v>
      </c>
      <c r="F390" s="9">
        <v>1</v>
      </c>
      <c r="G390" s="9">
        <f t="shared" si="18"/>
        <v>12.31</v>
      </c>
      <c r="H390" s="9">
        <f t="shared" si="19"/>
        <v>3.278555972850679</v>
      </c>
      <c r="I390" s="9">
        <f t="shared" si="20"/>
        <v>1</v>
      </c>
    </row>
    <row r="391" spans="1:9" x14ac:dyDescent="0.25">
      <c r="A391" s="6">
        <v>15</v>
      </c>
      <c r="B391" s="7">
        <v>59</v>
      </c>
      <c r="C391" s="7">
        <v>8</v>
      </c>
      <c r="D391" s="7">
        <v>2</v>
      </c>
      <c r="E391" s="8">
        <v>2</v>
      </c>
      <c r="F391" s="9">
        <v>1</v>
      </c>
      <c r="G391" s="9">
        <f t="shared" si="18"/>
        <v>12.917999999999999</v>
      </c>
      <c r="H391" s="9">
        <f t="shared" si="19"/>
        <v>3.8865559728506778</v>
      </c>
      <c r="I391" s="9">
        <f t="shared" si="20"/>
        <v>1</v>
      </c>
    </row>
    <row r="392" spans="1:9" x14ac:dyDescent="0.25">
      <c r="A392" s="6">
        <v>15</v>
      </c>
      <c r="B392" s="7">
        <v>60</v>
      </c>
      <c r="C392" s="7">
        <v>1</v>
      </c>
      <c r="D392" s="7">
        <v>0</v>
      </c>
      <c r="E392" s="8">
        <v>1</v>
      </c>
      <c r="F392" s="9">
        <v>1</v>
      </c>
      <c r="G392" s="9">
        <f t="shared" si="18"/>
        <v>10.614000000000001</v>
      </c>
      <c r="H392" s="9">
        <f t="shared" si="19"/>
        <v>1.5825559728506793</v>
      </c>
      <c r="I392" s="9">
        <f t="shared" si="20"/>
        <v>1</v>
      </c>
    </row>
    <row r="393" spans="1:9" x14ac:dyDescent="0.25">
      <c r="A393" s="6">
        <v>10</v>
      </c>
      <c r="B393" s="7">
        <v>60</v>
      </c>
      <c r="C393" s="7">
        <v>2</v>
      </c>
      <c r="D393" s="7">
        <v>3</v>
      </c>
      <c r="E393" s="8">
        <v>2</v>
      </c>
      <c r="F393" s="9">
        <v>1</v>
      </c>
      <c r="G393" s="9">
        <f t="shared" si="18"/>
        <v>8.9080000000000013</v>
      </c>
      <c r="H393" s="9">
        <f t="shared" si="19"/>
        <v>-0.12344402714932023</v>
      </c>
      <c r="I393" s="9">
        <f t="shared" si="20"/>
        <v>0</v>
      </c>
    </row>
    <row r="394" spans="1:9" x14ac:dyDescent="0.25">
      <c r="A394" s="6">
        <v>12</v>
      </c>
      <c r="B394" s="7">
        <v>60</v>
      </c>
      <c r="C394" s="7">
        <v>2</v>
      </c>
      <c r="D394" s="7">
        <v>5</v>
      </c>
      <c r="E394" s="8">
        <v>4</v>
      </c>
      <c r="F394" s="9">
        <v>1</v>
      </c>
      <c r="G394" s="9">
        <f t="shared" si="18"/>
        <v>9.7260000000000009</v>
      </c>
      <c r="H394" s="9">
        <f t="shared" si="19"/>
        <v>0.69455597285067938</v>
      </c>
      <c r="I394" s="9">
        <f t="shared" si="20"/>
        <v>1</v>
      </c>
    </row>
    <row r="395" spans="1:9" x14ac:dyDescent="0.25">
      <c r="A395" s="6">
        <v>15</v>
      </c>
      <c r="B395" s="7">
        <v>60</v>
      </c>
      <c r="C395" s="7">
        <v>2</v>
      </c>
      <c r="D395" s="7">
        <v>0</v>
      </c>
      <c r="E395" s="8">
        <v>4</v>
      </c>
      <c r="F395" s="9">
        <v>1</v>
      </c>
      <c r="G395" s="9">
        <f t="shared" si="18"/>
        <v>10.953000000000001</v>
      </c>
      <c r="H395" s="9">
        <f t="shared" si="19"/>
        <v>1.9215559728506797</v>
      </c>
      <c r="I395" s="9">
        <f t="shared" si="20"/>
        <v>1</v>
      </c>
    </row>
    <row r="396" spans="1:9" x14ac:dyDescent="0.25">
      <c r="A396" s="6">
        <v>12</v>
      </c>
      <c r="B396" s="7">
        <v>60</v>
      </c>
      <c r="C396" s="7">
        <v>3</v>
      </c>
      <c r="D396" s="7">
        <v>0</v>
      </c>
      <c r="E396" s="8">
        <v>4</v>
      </c>
      <c r="F396" s="9">
        <v>1</v>
      </c>
      <c r="G396" s="9">
        <f t="shared" si="18"/>
        <v>10.065</v>
      </c>
      <c r="H396" s="9">
        <f t="shared" si="19"/>
        <v>1.033555972850678</v>
      </c>
      <c r="I396" s="9">
        <f t="shared" si="20"/>
        <v>1</v>
      </c>
    </row>
    <row r="397" spans="1:9" x14ac:dyDescent="0.25">
      <c r="A397" s="6">
        <v>10</v>
      </c>
      <c r="B397" s="7">
        <v>60</v>
      </c>
      <c r="C397" s="7">
        <v>4</v>
      </c>
      <c r="D397" s="7">
        <v>0</v>
      </c>
      <c r="E397" s="8">
        <v>0</v>
      </c>
      <c r="F397" s="9">
        <v>1</v>
      </c>
      <c r="G397" s="9">
        <f t="shared" si="18"/>
        <v>9.5860000000000003</v>
      </c>
      <c r="H397" s="9">
        <f t="shared" si="19"/>
        <v>0.55455597285067881</v>
      </c>
      <c r="I397" s="9">
        <f t="shared" si="20"/>
        <v>1</v>
      </c>
    </row>
    <row r="398" spans="1:9" x14ac:dyDescent="0.25">
      <c r="A398" s="6">
        <v>12</v>
      </c>
      <c r="B398" s="7">
        <v>61</v>
      </c>
      <c r="C398" s="7">
        <v>2</v>
      </c>
      <c r="D398" s="7">
        <v>1</v>
      </c>
      <c r="E398" s="8">
        <v>3</v>
      </c>
      <c r="F398" s="9">
        <v>1</v>
      </c>
      <c r="G398" s="9">
        <f t="shared" si="18"/>
        <v>9.7950000000000017</v>
      </c>
      <c r="H398" s="9">
        <f t="shared" si="19"/>
        <v>0.76355597285068022</v>
      </c>
      <c r="I398" s="9">
        <f t="shared" si="20"/>
        <v>1</v>
      </c>
    </row>
    <row r="399" spans="1:9" x14ac:dyDescent="0.25">
      <c r="A399" s="6">
        <v>12</v>
      </c>
      <c r="B399" s="7">
        <v>61</v>
      </c>
      <c r="C399" s="7">
        <v>2</v>
      </c>
      <c r="D399" s="7">
        <v>1</v>
      </c>
      <c r="E399" s="8">
        <v>0</v>
      </c>
      <c r="F399" s="9">
        <v>1</v>
      </c>
      <c r="G399" s="9">
        <f t="shared" si="18"/>
        <v>9.7950000000000017</v>
      </c>
      <c r="H399" s="9">
        <f t="shared" si="19"/>
        <v>0.76355597285068022</v>
      </c>
      <c r="I399" s="9">
        <f t="shared" si="20"/>
        <v>1</v>
      </c>
    </row>
    <row r="400" spans="1:9" x14ac:dyDescent="0.25">
      <c r="A400" s="6">
        <v>15</v>
      </c>
      <c r="B400" s="7">
        <v>61</v>
      </c>
      <c r="C400" s="7">
        <v>2</v>
      </c>
      <c r="D400" s="7">
        <v>3</v>
      </c>
      <c r="E400" s="8">
        <v>4</v>
      </c>
      <c r="F400" s="9">
        <v>1</v>
      </c>
      <c r="G400" s="9">
        <f t="shared" si="18"/>
        <v>11.022000000000002</v>
      </c>
      <c r="H400" s="9">
        <f t="shared" si="19"/>
        <v>1.9905559728506805</v>
      </c>
      <c r="I400" s="9">
        <f t="shared" si="20"/>
        <v>1</v>
      </c>
    </row>
    <row r="401" spans="1:9" x14ac:dyDescent="0.25">
      <c r="A401" s="6">
        <v>11</v>
      </c>
      <c r="B401" s="7">
        <v>61</v>
      </c>
      <c r="C401" s="7">
        <v>3</v>
      </c>
      <c r="D401" s="7">
        <v>1</v>
      </c>
      <c r="E401" s="8">
        <v>2</v>
      </c>
      <c r="F401" s="9">
        <v>1</v>
      </c>
      <c r="G401" s="9">
        <f t="shared" si="18"/>
        <v>9.7249999999999996</v>
      </c>
      <c r="H401" s="9">
        <f t="shared" si="19"/>
        <v>0.69355597285067816</v>
      </c>
      <c r="I401" s="9">
        <f t="shared" si="20"/>
        <v>1</v>
      </c>
    </row>
    <row r="402" spans="1:9" x14ac:dyDescent="0.25">
      <c r="A402" s="6">
        <v>15</v>
      </c>
      <c r="B402" s="7">
        <v>61</v>
      </c>
      <c r="C402" s="7">
        <v>3</v>
      </c>
      <c r="D402" s="7">
        <v>1</v>
      </c>
      <c r="E402" s="8">
        <v>7</v>
      </c>
      <c r="F402" s="9">
        <v>1</v>
      </c>
      <c r="G402" s="9">
        <f t="shared" si="18"/>
        <v>11.361000000000001</v>
      </c>
      <c r="H402" s="9">
        <f t="shared" si="19"/>
        <v>2.3295559728506792</v>
      </c>
      <c r="I402" s="9">
        <f t="shared" si="20"/>
        <v>1</v>
      </c>
    </row>
    <row r="403" spans="1:9" x14ac:dyDescent="0.25">
      <c r="A403" s="6">
        <v>13</v>
      </c>
      <c r="B403" s="7">
        <v>61</v>
      </c>
      <c r="C403" s="7">
        <v>6</v>
      </c>
      <c r="D403" s="7">
        <v>0</v>
      </c>
      <c r="E403" s="8">
        <v>5</v>
      </c>
      <c r="F403" s="9">
        <v>1</v>
      </c>
      <c r="G403" s="9">
        <f t="shared" si="18"/>
        <v>11.56</v>
      </c>
      <c r="H403" s="9">
        <f t="shared" si="19"/>
        <v>2.528555972850679</v>
      </c>
      <c r="I403" s="9">
        <f t="shared" si="20"/>
        <v>1</v>
      </c>
    </row>
    <row r="404" spans="1:9" x14ac:dyDescent="0.25">
      <c r="A404" s="6">
        <v>16</v>
      </c>
      <c r="B404" s="7">
        <v>62</v>
      </c>
      <c r="C404" s="7">
        <v>1</v>
      </c>
      <c r="D404" s="7">
        <v>3</v>
      </c>
      <c r="E404" s="8">
        <v>1</v>
      </c>
      <c r="F404" s="9">
        <v>1</v>
      </c>
      <c r="G404" s="9">
        <f t="shared" si="18"/>
        <v>11.161</v>
      </c>
      <c r="H404" s="9">
        <f t="shared" si="19"/>
        <v>2.1295559728506781</v>
      </c>
      <c r="I404" s="9">
        <f t="shared" si="20"/>
        <v>1</v>
      </c>
    </row>
    <row r="405" spans="1:9" x14ac:dyDescent="0.25">
      <c r="A405" s="6">
        <v>8</v>
      </c>
      <c r="B405" s="7">
        <v>62</v>
      </c>
      <c r="C405" s="7">
        <v>2</v>
      </c>
      <c r="D405" s="7">
        <v>1</v>
      </c>
      <c r="E405" s="8">
        <v>3</v>
      </c>
      <c r="F405" s="9">
        <v>1</v>
      </c>
      <c r="G405" s="9">
        <f t="shared" si="18"/>
        <v>8.2280000000000015</v>
      </c>
      <c r="H405" s="9">
        <f t="shared" si="19"/>
        <v>-0.80344402714931995</v>
      </c>
      <c r="I405" s="9">
        <f t="shared" si="20"/>
        <v>0</v>
      </c>
    </row>
    <row r="406" spans="1:9" x14ac:dyDescent="0.25">
      <c r="A406" s="6">
        <v>11</v>
      </c>
      <c r="B406" s="7">
        <v>62</v>
      </c>
      <c r="C406" s="7">
        <v>2</v>
      </c>
      <c r="D406" s="7">
        <v>4</v>
      </c>
      <c r="E406" s="8">
        <v>2</v>
      </c>
      <c r="F406" s="9">
        <v>1</v>
      </c>
      <c r="G406" s="9">
        <f t="shared" si="18"/>
        <v>9.4550000000000018</v>
      </c>
      <c r="H406" s="9">
        <f t="shared" si="19"/>
        <v>0.42355597285068036</v>
      </c>
      <c r="I406" s="9">
        <f t="shared" si="20"/>
        <v>1</v>
      </c>
    </row>
    <row r="407" spans="1:9" x14ac:dyDescent="0.25">
      <c r="A407" s="6">
        <v>12</v>
      </c>
      <c r="B407" s="7">
        <v>62</v>
      </c>
      <c r="C407" s="7">
        <v>2</v>
      </c>
      <c r="D407" s="7">
        <v>0</v>
      </c>
      <c r="E407" s="8">
        <v>3</v>
      </c>
      <c r="F407" s="9">
        <v>1</v>
      </c>
      <c r="G407" s="9">
        <f t="shared" si="18"/>
        <v>9.8640000000000008</v>
      </c>
      <c r="H407" s="9">
        <f t="shared" si="19"/>
        <v>0.83255597285067928</v>
      </c>
      <c r="I407" s="9">
        <f t="shared" si="20"/>
        <v>1</v>
      </c>
    </row>
    <row r="408" spans="1:9" x14ac:dyDescent="0.25">
      <c r="A408" s="6">
        <v>15</v>
      </c>
      <c r="B408" s="7">
        <v>62</v>
      </c>
      <c r="C408" s="7">
        <v>3</v>
      </c>
      <c r="D408" s="7">
        <v>3</v>
      </c>
      <c r="E408" s="8">
        <v>2</v>
      </c>
      <c r="F408" s="9">
        <v>1</v>
      </c>
      <c r="G408" s="9">
        <f t="shared" si="18"/>
        <v>11.43</v>
      </c>
      <c r="H408" s="9">
        <f t="shared" si="19"/>
        <v>2.3985559728506782</v>
      </c>
      <c r="I408" s="9">
        <f t="shared" si="20"/>
        <v>1</v>
      </c>
    </row>
    <row r="409" spans="1:9" x14ac:dyDescent="0.25">
      <c r="A409" s="6">
        <v>16</v>
      </c>
      <c r="B409" s="7">
        <v>62</v>
      </c>
      <c r="C409" s="7">
        <v>4</v>
      </c>
      <c r="D409" s="7">
        <v>0</v>
      </c>
      <c r="E409" s="8">
        <v>2</v>
      </c>
      <c r="F409" s="9">
        <v>1</v>
      </c>
      <c r="G409" s="9">
        <f t="shared" si="18"/>
        <v>12.177999999999999</v>
      </c>
      <c r="H409" s="9">
        <f t="shared" si="19"/>
        <v>3.1465559728506776</v>
      </c>
      <c r="I409" s="9">
        <f t="shared" si="20"/>
        <v>1</v>
      </c>
    </row>
    <row r="410" spans="1:9" x14ac:dyDescent="0.25">
      <c r="A410" s="6">
        <v>8</v>
      </c>
      <c r="B410" s="7">
        <v>62</v>
      </c>
      <c r="C410" s="7">
        <v>4</v>
      </c>
      <c r="D410" s="7">
        <v>0</v>
      </c>
      <c r="E410" s="8">
        <v>7</v>
      </c>
      <c r="F410" s="9">
        <v>1</v>
      </c>
      <c r="G410" s="9">
        <f t="shared" si="18"/>
        <v>8.9060000000000006</v>
      </c>
      <c r="H410" s="9">
        <f t="shared" si="19"/>
        <v>-0.1254440271493209</v>
      </c>
      <c r="I410" s="9">
        <f t="shared" si="20"/>
        <v>0</v>
      </c>
    </row>
    <row r="411" spans="1:9" x14ac:dyDescent="0.25">
      <c r="A411" s="6">
        <v>12</v>
      </c>
      <c r="B411" s="7">
        <v>63</v>
      </c>
      <c r="C411" s="7">
        <v>1</v>
      </c>
      <c r="D411" s="7">
        <v>2</v>
      </c>
      <c r="E411" s="8">
        <v>5</v>
      </c>
      <c r="F411" s="9">
        <v>1</v>
      </c>
      <c r="G411" s="9">
        <f t="shared" si="18"/>
        <v>9.5939999999999994</v>
      </c>
      <c r="H411" s="9">
        <f t="shared" si="19"/>
        <v>0.56255597285067793</v>
      </c>
      <c r="I411" s="9">
        <f t="shared" si="20"/>
        <v>1</v>
      </c>
    </row>
    <row r="412" spans="1:9" x14ac:dyDescent="0.25">
      <c r="A412" s="6">
        <v>9</v>
      </c>
      <c r="B412" s="7">
        <v>63</v>
      </c>
      <c r="C412" s="7">
        <v>3</v>
      </c>
      <c r="D412" s="7">
        <v>4</v>
      </c>
      <c r="E412" s="8">
        <v>2</v>
      </c>
      <c r="F412" s="9">
        <v>1</v>
      </c>
      <c r="G412" s="9">
        <f t="shared" si="18"/>
        <v>9.0449999999999999</v>
      </c>
      <c r="H412" s="9">
        <f t="shared" si="19"/>
        <v>1.3555972850678444E-2</v>
      </c>
      <c r="I412" s="9">
        <f t="shared" si="20"/>
        <v>1</v>
      </c>
    </row>
    <row r="413" spans="1:9" x14ac:dyDescent="0.25">
      <c r="A413" s="6">
        <v>10</v>
      </c>
      <c r="B413" s="7">
        <v>63</v>
      </c>
      <c r="C413" s="7">
        <v>3</v>
      </c>
      <c r="D413" s="7">
        <v>0</v>
      </c>
      <c r="E413" s="8">
        <v>3</v>
      </c>
      <c r="F413" s="9">
        <v>1</v>
      </c>
      <c r="G413" s="9">
        <f t="shared" si="18"/>
        <v>9.4540000000000006</v>
      </c>
      <c r="H413" s="9">
        <f t="shared" si="19"/>
        <v>0.42255597285067914</v>
      </c>
      <c r="I413" s="9">
        <f t="shared" si="20"/>
        <v>1</v>
      </c>
    </row>
    <row r="414" spans="1:9" x14ac:dyDescent="0.25">
      <c r="A414" s="6">
        <v>12</v>
      </c>
      <c r="B414" s="7">
        <v>63</v>
      </c>
      <c r="C414" s="7">
        <v>4</v>
      </c>
      <c r="D414" s="7">
        <v>1</v>
      </c>
      <c r="E414" s="8">
        <v>0</v>
      </c>
      <c r="F414" s="9">
        <v>1</v>
      </c>
      <c r="G414" s="9">
        <f t="shared" si="18"/>
        <v>10.610999999999999</v>
      </c>
      <c r="H414" s="9">
        <f t="shared" si="19"/>
        <v>1.5795559728506774</v>
      </c>
      <c r="I414" s="9">
        <f t="shared" si="20"/>
        <v>1</v>
      </c>
    </row>
    <row r="415" spans="1:9" x14ac:dyDescent="0.25">
      <c r="A415" s="6">
        <v>13</v>
      </c>
      <c r="B415" s="7">
        <v>64</v>
      </c>
      <c r="C415" s="7">
        <v>1</v>
      </c>
      <c r="D415" s="7">
        <v>2</v>
      </c>
      <c r="E415" s="8">
        <v>4</v>
      </c>
      <c r="F415" s="9">
        <v>1</v>
      </c>
      <c r="G415" s="9">
        <f t="shared" si="18"/>
        <v>10.072000000000001</v>
      </c>
      <c r="H415" s="9">
        <f t="shared" si="19"/>
        <v>1.0405559728506795</v>
      </c>
      <c r="I415" s="9">
        <f t="shared" si="20"/>
        <v>1</v>
      </c>
    </row>
    <row r="416" spans="1:9" x14ac:dyDescent="0.25">
      <c r="A416" s="6">
        <v>10</v>
      </c>
      <c r="B416" s="7">
        <v>64</v>
      </c>
      <c r="C416" s="7">
        <v>2</v>
      </c>
      <c r="D416" s="7">
        <v>1</v>
      </c>
      <c r="E416" s="8">
        <v>2</v>
      </c>
      <c r="F416" s="9">
        <v>1</v>
      </c>
      <c r="G416" s="9">
        <f t="shared" si="18"/>
        <v>9.1840000000000011</v>
      </c>
      <c r="H416" s="9">
        <f t="shared" si="19"/>
        <v>0.15255597285067957</v>
      </c>
      <c r="I416" s="9">
        <f t="shared" si="20"/>
        <v>1</v>
      </c>
    </row>
    <row r="417" spans="1:9" x14ac:dyDescent="0.25">
      <c r="A417" s="6">
        <v>13</v>
      </c>
      <c r="B417" s="7">
        <v>64</v>
      </c>
      <c r="C417" s="7">
        <v>2</v>
      </c>
      <c r="D417" s="7">
        <v>0</v>
      </c>
      <c r="E417" s="8">
        <v>4</v>
      </c>
      <c r="F417" s="9">
        <v>1</v>
      </c>
      <c r="G417" s="9">
        <f t="shared" si="18"/>
        <v>10.411000000000001</v>
      </c>
      <c r="H417" s="9">
        <f t="shared" si="19"/>
        <v>1.3795559728506799</v>
      </c>
      <c r="I417" s="9">
        <f t="shared" si="20"/>
        <v>1</v>
      </c>
    </row>
    <row r="418" spans="1:9" x14ac:dyDescent="0.25">
      <c r="A418" s="6">
        <v>13</v>
      </c>
      <c r="B418" s="7">
        <v>64</v>
      </c>
      <c r="C418" s="7">
        <v>2</v>
      </c>
      <c r="D418" s="7">
        <v>2</v>
      </c>
      <c r="E418" s="8">
        <v>2</v>
      </c>
      <c r="F418" s="9">
        <v>1</v>
      </c>
      <c r="G418" s="9">
        <f t="shared" si="18"/>
        <v>10.411000000000001</v>
      </c>
      <c r="H418" s="9">
        <f t="shared" si="19"/>
        <v>1.3795559728506799</v>
      </c>
      <c r="I418" s="9">
        <f t="shared" si="20"/>
        <v>1</v>
      </c>
    </row>
    <row r="419" spans="1:9" x14ac:dyDescent="0.25">
      <c r="A419" s="6">
        <v>15</v>
      </c>
      <c r="B419" s="7">
        <v>64</v>
      </c>
      <c r="C419" s="7">
        <v>2</v>
      </c>
      <c r="D419" s="7">
        <v>1</v>
      </c>
      <c r="E419" s="8">
        <v>2</v>
      </c>
      <c r="F419" s="9">
        <v>1</v>
      </c>
      <c r="G419" s="9">
        <f t="shared" si="18"/>
        <v>11.229000000000001</v>
      </c>
      <c r="H419" s="9">
        <f t="shared" si="19"/>
        <v>2.1975559728506795</v>
      </c>
      <c r="I419" s="9">
        <f t="shared" si="20"/>
        <v>1</v>
      </c>
    </row>
    <row r="420" spans="1:9" x14ac:dyDescent="0.25">
      <c r="A420" s="6">
        <v>11</v>
      </c>
      <c r="B420" s="7">
        <v>64</v>
      </c>
      <c r="C420" s="7">
        <v>4</v>
      </c>
      <c r="D420" s="7">
        <v>1</v>
      </c>
      <c r="E420" s="8">
        <v>8</v>
      </c>
      <c r="F420" s="9">
        <v>1</v>
      </c>
      <c r="G420" s="9">
        <f t="shared" si="18"/>
        <v>10.270999999999999</v>
      </c>
      <c r="H420" s="9">
        <f t="shared" si="19"/>
        <v>1.2395559728506775</v>
      </c>
      <c r="I420" s="9">
        <f t="shared" si="20"/>
        <v>1</v>
      </c>
    </row>
    <row r="421" spans="1:9" x14ac:dyDescent="0.25">
      <c r="A421" s="6">
        <v>12</v>
      </c>
      <c r="B421" s="7">
        <v>65</v>
      </c>
      <c r="C421" s="7">
        <v>3</v>
      </c>
      <c r="D421" s="7">
        <v>2</v>
      </c>
      <c r="E421" s="8">
        <v>3</v>
      </c>
      <c r="F421" s="9">
        <v>1</v>
      </c>
      <c r="G421" s="9">
        <f t="shared" si="18"/>
        <v>10.41</v>
      </c>
      <c r="H421" s="9">
        <f t="shared" si="19"/>
        <v>1.3785559728506787</v>
      </c>
      <c r="I421" s="9">
        <f t="shared" si="20"/>
        <v>1</v>
      </c>
    </row>
    <row r="422" spans="1:9" x14ac:dyDescent="0.25">
      <c r="A422" s="6">
        <v>12</v>
      </c>
      <c r="B422" s="7">
        <v>65</v>
      </c>
      <c r="C422" s="7">
        <v>5</v>
      </c>
      <c r="D422" s="7">
        <v>0</v>
      </c>
      <c r="E422" s="8">
        <v>2</v>
      </c>
      <c r="F422" s="9">
        <v>1</v>
      </c>
      <c r="G422" s="9">
        <f t="shared" si="18"/>
        <v>11.088000000000001</v>
      </c>
      <c r="H422" s="9">
        <f t="shared" si="19"/>
        <v>2.0565559728506795</v>
      </c>
      <c r="I422" s="9">
        <f t="shared" si="20"/>
        <v>1</v>
      </c>
    </row>
    <row r="423" spans="1:9" x14ac:dyDescent="0.25">
      <c r="A423" s="6">
        <v>12</v>
      </c>
      <c r="B423" s="7">
        <v>67</v>
      </c>
      <c r="C423" s="7">
        <v>2</v>
      </c>
      <c r="D423" s="7">
        <v>1</v>
      </c>
      <c r="E423" s="8">
        <v>6</v>
      </c>
      <c r="F423" s="9">
        <v>1</v>
      </c>
      <c r="G423" s="9">
        <f t="shared" si="18"/>
        <v>10.209</v>
      </c>
      <c r="H423" s="9">
        <f t="shared" si="19"/>
        <v>1.1775559728506781</v>
      </c>
      <c r="I423" s="9">
        <f t="shared" si="20"/>
        <v>1</v>
      </c>
    </row>
    <row r="424" spans="1:9" x14ac:dyDescent="0.25">
      <c r="A424" s="6">
        <v>12</v>
      </c>
      <c r="B424" s="7">
        <v>67</v>
      </c>
      <c r="C424" s="7">
        <v>4</v>
      </c>
      <c r="D424" s="7">
        <v>0</v>
      </c>
      <c r="E424" s="8">
        <v>5</v>
      </c>
      <c r="F424" s="9">
        <v>1</v>
      </c>
      <c r="G424" s="9">
        <f t="shared" si="18"/>
        <v>10.886999999999999</v>
      </c>
      <c r="H424" s="9">
        <f t="shared" si="19"/>
        <v>1.8555559728506772</v>
      </c>
      <c r="I424" s="9">
        <f t="shared" si="20"/>
        <v>1</v>
      </c>
    </row>
    <row r="425" spans="1:9" x14ac:dyDescent="0.25">
      <c r="A425" s="6">
        <v>13</v>
      </c>
      <c r="B425" s="7">
        <v>69</v>
      </c>
      <c r="C425" s="7">
        <v>2</v>
      </c>
      <c r="D425" s="7">
        <v>4</v>
      </c>
      <c r="E425" s="8">
        <v>3</v>
      </c>
      <c r="F425" s="9">
        <v>1</v>
      </c>
      <c r="G425" s="9">
        <f t="shared" si="18"/>
        <v>10.756</v>
      </c>
      <c r="H425" s="9">
        <f t="shared" si="19"/>
        <v>1.7245559728506787</v>
      </c>
      <c r="I425" s="9">
        <f t="shared" si="20"/>
        <v>1</v>
      </c>
    </row>
    <row r="426" spans="1:9" x14ac:dyDescent="0.25">
      <c r="A426" s="6">
        <v>12</v>
      </c>
      <c r="B426" s="7">
        <v>69</v>
      </c>
      <c r="C426" s="7">
        <v>3</v>
      </c>
      <c r="D426" s="7">
        <v>0</v>
      </c>
      <c r="E426" s="8">
        <v>2</v>
      </c>
      <c r="F426" s="9">
        <v>1</v>
      </c>
      <c r="G426" s="9">
        <f t="shared" si="18"/>
        <v>10.686</v>
      </c>
      <c r="H426" s="9">
        <f t="shared" si="19"/>
        <v>1.6545559728506785</v>
      </c>
      <c r="I426" s="9">
        <f t="shared" si="20"/>
        <v>1</v>
      </c>
    </row>
    <row r="427" spans="1:9" x14ac:dyDescent="0.25">
      <c r="A427" s="6">
        <v>15</v>
      </c>
      <c r="B427" s="7">
        <v>70</v>
      </c>
      <c r="C427" s="7">
        <v>2</v>
      </c>
      <c r="D427" s="7">
        <v>2</v>
      </c>
      <c r="E427" s="8">
        <v>8</v>
      </c>
      <c r="F427" s="9">
        <v>1</v>
      </c>
      <c r="G427" s="9">
        <f t="shared" si="18"/>
        <v>11.643000000000001</v>
      </c>
      <c r="H427" s="9">
        <f t="shared" si="19"/>
        <v>2.6115559728506792</v>
      </c>
      <c r="I427" s="9">
        <f t="shared" si="20"/>
        <v>1</v>
      </c>
    </row>
    <row r="428" spans="1:9" x14ac:dyDescent="0.25">
      <c r="A428" s="6">
        <v>12</v>
      </c>
      <c r="B428" s="7">
        <v>71</v>
      </c>
      <c r="C428" s="7">
        <v>2</v>
      </c>
      <c r="D428" s="7">
        <v>2</v>
      </c>
      <c r="E428" s="8">
        <v>8</v>
      </c>
      <c r="F428" s="9">
        <v>1</v>
      </c>
      <c r="G428" s="9">
        <f t="shared" si="18"/>
        <v>10.484999999999999</v>
      </c>
      <c r="H428" s="9">
        <f t="shared" si="19"/>
        <v>1.4535559728506779</v>
      </c>
      <c r="I428" s="9">
        <f t="shared" si="20"/>
        <v>1</v>
      </c>
    </row>
    <row r="429" spans="1:9" x14ac:dyDescent="0.25">
      <c r="A429" s="6">
        <v>11</v>
      </c>
      <c r="B429" s="7">
        <v>71</v>
      </c>
      <c r="C429" s="7">
        <v>3</v>
      </c>
      <c r="D429" s="7">
        <v>0</v>
      </c>
      <c r="E429" s="8">
        <v>4</v>
      </c>
      <c r="F429" s="9">
        <v>1</v>
      </c>
      <c r="G429" s="9">
        <f t="shared" si="18"/>
        <v>10.414999999999999</v>
      </c>
      <c r="H429" s="9">
        <f t="shared" si="19"/>
        <v>1.3835559728506777</v>
      </c>
      <c r="I429" s="9">
        <f t="shared" si="20"/>
        <v>1</v>
      </c>
    </row>
    <row r="430" spans="1:9" x14ac:dyDescent="0.25">
      <c r="A430" s="6">
        <v>12</v>
      </c>
      <c r="B430" s="7">
        <v>71</v>
      </c>
      <c r="C430" s="7">
        <v>4</v>
      </c>
      <c r="D430" s="7">
        <v>3</v>
      </c>
      <c r="E430" s="8">
        <v>3</v>
      </c>
      <c r="F430" s="9">
        <v>1</v>
      </c>
      <c r="G430" s="9">
        <f t="shared" si="18"/>
        <v>11.162999999999998</v>
      </c>
      <c r="H430" s="9">
        <f t="shared" si="19"/>
        <v>2.131555972850677</v>
      </c>
      <c r="I430" s="9">
        <f t="shared" si="20"/>
        <v>1</v>
      </c>
    </row>
    <row r="431" spans="1:9" x14ac:dyDescent="0.25">
      <c r="A431" s="6">
        <v>16</v>
      </c>
      <c r="B431" s="7">
        <v>72</v>
      </c>
      <c r="C431" s="7">
        <v>1</v>
      </c>
      <c r="D431" s="7">
        <v>1</v>
      </c>
      <c r="E431" s="8">
        <v>2</v>
      </c>
      <c r="F431" s="9">
        <v>1</v>
      </c>
      <c r="G431" s="9">
        <f t="shared" si="18"/>
        <v>11.851000000000001</v>
      </c>
      <c r="H431" s="9">
        <f t="shared" si="19"/>
        <v>2.8195559728506794</v>
      </c>
      <c r="I431" s="9">
        <f t="shared" si="20"/>
        <v>1</v>
      </c>
    </row>
    <row r="432" spans="1:9" x14ac:dyDescent="0.25">
      <c r="A432" s="6">
        <v>9</v>
      </c>
      <c r="B432" s="7">
        <v>72</v>
      </c>
      <c r="C432" s="7">
        <v>2</v>
      </c>
      <c r="D432" s="7">
        <v>2</v>
      </c>
      <c r="E432" s="8">
        <v>0</v>
      </c>
      <c r="F432" s="9">
        <v>1</v>
      </c>
      <c r="G432" s="9">
        <f t="shared" si="18"/>
        <v>9.327</v>
      </c>
      <c r="H432" s="9">
        <f t="shared" si="19"/>
        <v>0.29555597285067847</v>
      </c>
      <c r="I432" s="9">
        <f t="shared" si="20"/>
        <v>1</v>
      </c>
    </row>
    <row r="433" spans="1:9" x14ac:dyDescent="0.25">
      <c r="A433" s="6">
        <v>8</v>
      </c>
      <c r="B433" s="7">
        <v>72</v>
      </c>
      <c r="C433" s="7">
        <v>5</v>
      </c>
      <c r="D433" s="7">
        <v>1</v>
      </c>
      <c r="E433" s="8">
        <v>0</v>
      </c>
      <c r="F433" s="9">
        <v>1</v>
      </c>
      <c r="G433" s="9">
        <f t="shared" si="18"/>
        <v>9.9350000000000005</v>
      </c>
      <c r="H433" s="9">
        <f t="shared" si="19"/>
        <v>0.90355597285067901</v>
      </c>
      <c r="I433" s="9">
        <f t="shared" si="20"/>
        <v>1</v>
      </c>
    </row>
    <row r="434" spans="1:9" x14ac:dyDescent="0.25">
      <c r="A434" s="6">
        <v>15</v>
      </c>
      <c r="B434" s="7">
        <v>73</v>
      </c>
      <c r="C434" s="7">
        <v>3</v>
      </c>
      <c r="D434" s="7">
        <v>1</v>
      </c>
      <c r="E434" s="8">
        <v>3</v>
      </c>
      <c r="F434" s="9">
        <v>1</v>
      </c>
      <c r="G434" s="9">
        <f t="shared" si="18"/>
        <v>12.189</v>
      </c>
      <c r="H434" s="9">
        <f t="shared" si="19"/>
        <v>3.1575559728506786</v>
      </c>
      <c r="I434" s="9">
        <f t="shared" si="20"/>
        <v>1</v>
      </c>
    </row>
    <row r="435" spans="1:9" x14ac:dyDescent="0.25">
      <c r="A435" s="6">
        <v>12</v>
      </c>
      <c r="B435" s="7">
        <v>74</v>
      </c>
      <c r="C435" s="7">
        <v>5</v>
      </c>
      <c r="D435" s="7">
        <v>4</v>
      </c>
      <c r="E435" s="8">
        <v>1</v>
      </c>
      <c r="F435" s="9">
        <v>1</v>
      </c>
      <c r="G435" s="9">
        <f t="shared" si="18"/>
        <v>11.709</v>
      </c>
      <c r="H435" s="9">
        <f t="shared" si="19"/>
        <v>2.6775559728506781</v>
      </c>
      <c r="I435" s="9">
        <f t="shared" si="20"/>
        <v>1</v>
      </c>
    </row>
    <row r="436" spans="1:9" x14ac:dyDescent="0.25">
      <c r="A436" s="6">
        <v>11</v>
      </c>
      <c r="B436" s="7">
        <v>75</v>
      </c>
      <c r="C436" s="7">
        <v>1</v>
      </c>
      <c r="D436" s="7">
        <v>6</v>
      </c>
      <c r="E436" s="8">
        <v>5</v>
      </c>
      <c r="F436" s="9">
        <v>1</v>
      </c>
      <c r="G436" s="9">
        <f t="shared" si="18"/>
        <v>10.013</v>
      </c>
      <c r="H436" s="9">
        <f t="shared" si="19"/>
        <v>0.98155597285067842</v>
      </c>
      <c r="I436" s="9">
        <f t="shared" si="20"/>
        <v>1</v>
      </c>
    </row>
    <row r="437" spans="1:9" x14ac:dyDescent="0.25">
      <c r="A437" s="6">
        <v>12</v>
      </c>
      <c r="B437" s="7">
        <v>75</v>
      </c>
      <c r="C437" s="7">
        <v>4</v>
      </c>
      <c r="D437" s="7">
        <v>0</v>
      </c>
      <c r="E437" s="8">
        <v>0</v>
      </c>
      <c r="F437" s="9">
        <v>1</v>
      </c>
      <c r="G437" s="9">
        <f t="shared" si="18"/>
        <v>11.439</v>
      </c>
      <c r="H437" s="9">
        <f t="shared" si="19"/>
        <v>2.4075559728506786</v>
      </c>
      <c r="I437" s="9">
        <f t="shared" si="20"/>
        <v>1</v>
      </c>
    </row>
    <row r="438" spans="1:9" x14ac:dyDescent="0.25">
      <c r="A438" s="6">
        <v>9</v>
      </c>
      <c r="B438" s="7">
        <v>77</v>
      </c>
      <c r="C438" s="7">
        <v>4</v>
      </c>
      <c r="D438" s="7">
        <v>0</v>
      </c>
      <c r="E438" s="8">
        <v>2</v>
      </c>
      <c r="F438" s="9">
        <v>1</v>
      </c>
      <c r="G438" s="9">
        <f t="shared" si="18"/>
        <v>10.35</v>
      </c>
      <c r="H438" s="9">
        <f t="shared" si="19"/>
        <v>1.3185559728506782</v>
      </c>
      <c r="I438" s="9">
        <f t="shared" si="20"/>
        <v>1</v>
      </c>
    </row>
    <row r="439" spans="1:9" x14ac:dyDescent="0.25">
      <c r="A439" s="6">
        <v>12</v>
      </c>
      <c r="B439" s="7">
        <v>77</v>
      </c>
      <c r="C439" s="7">
        <v>8</v>
      </c>
      <c r="D439" s="7">
        <v>1</v>
      </c>
      <c r="E439" s="8">
        <v>4</v>
      </c>
      <c r="F439" s="9">
        <v>1</v>
      </c>
      <c r="G439" s="9">
        <f t="shared" si="18"/>
        <v>12.933</v>
      </c>
      <c r="H439" s="9">
        <f t="shared" si="19"/>
        <v>3.9015559728506783</v>
      </c>
      <c r="I439" s="9">
        <f t="shared" si="20"/>
        <v>1</v>
      </c>
    </row>
    <row r="440" spans="1:9" x14ac:dyDescent="0.25">
      <c r="A440" s="6">
        <v>8</v>
      </c>
      <c r="B440" s="7">
        <v>81</v>
      </c>
      <c r="C440" s="7">
        <v>4</v>
      </c>
      <c r="D440" s="7">
        <v>2</v>
      </c>
      <c r="E440" s="8">
        <v>5</v>
      </c>
      <c r="F440" s="9">
        <v>1</v>
      </c>
      <c r="G440" s="9">
        <f t="shared" si="18"/>
        <v>10.217000000000001</v>
      </c>
      <c r="H440" s="9">
        <f t="shared" si="19"/>
        <v>1.185555972850679</v>
      </c>
      <c r="I440" s="9">
        <f t="shared" si="20"/>
        <v>1</v>
      </c>
    </row>
    <row r="441" spans="1:9" x14ac:dyDescent="0.25">
      <c r="A441" s="6">
        <v>8</v>
      </c>
      <c r="B441" s="7">
        <v>84</v>
      </c>
      <c r="C441" s="7">
        <v>4</v>
      </c>
      <c r="D441" s="7">
        <v>0</v>
      </c>
      <c r="E441" s="8">
        <v>3</v>
      </c>
      <c r="F441" s="9">
        <v>1</v>
      </c>
      <c r="G441" s="9">
        <f t="shared" si="18"/>
        <v>10.423999999999999</v>
      </c>
      <c r="H441" s="9">
        <f t="shared" si="19"/>
        <v>1.392555972850678</v>
      </c>
      <c r="I441" s="9">
        <f t="shared" si="20"/>
        <v>1</v>
      </c>
    </row>
    <row r="442" spans="1:9" x14ac:dyDescent="0.25">
      <c r="A442" s="6">
        <v>12</v>
      </c>
      <c r="B442" s="7">
        <v>85</v>
      </c>
      <c r="C442" s="7">
        <v>6</v>
      </c>
      <c r="D442" s="7">
        <v>0</v>
      </c>
      <c r="E442" s="8">
        <v>0</v>
      </c>
      <c r="F442" s="9">
        <v>1</v>
      </c>
      <c r="G442" s="9">
        <f t="shared" si="18"/>
        <v>12.807</v>
      </c>
      <c r="H442" s="9">
        <f t="shared" si="19"/>
        <v>3.7755559728506789</v>
      </c>
      <c r="I442" s="9">
        <f t="shared" si="20"/>
        <v>1</v>
      </c>
    </row>
    <row r="443" spans="1:9" ht="15.75" thickBot="1" x14ac:dyDescent="0.3">
      <c r="A443" s="10">
        <v>15</v>
      </c>
      <c r="B443" s="11">
        <v>89</v>
      </c>
      <c r="C443" s="11">
        <v>1</v>
      </c>
      <c r="D443" s="11">
        <v>1</v>
      </c>
      <c r="E443" s="12">
        <v>2</v>
      </c>
      <c r="F443" s="13">
        <v>1</v>
      </c>
      <c r="G443" s="13">
        <f t="shared" si="18"/>
        <v>12.615</v>
      </c>
      <c r="H443" s="13">
        <f t="shared" si="19"/>
        <v>3.5835559728506787</v>
      </c>
      <c r="I443" s="13">
        <f t="shared" si="20"/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 suscripcion-discriminan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</dc:creator>
  <cp:lastModifiedBy>Jesus</cp:lastModifiedBy>
  <dcterms:created xsi:type="dcterms:W3CDTF">2019-06-14T21:46:52Z</dcterms:created>
  <dcterms:modified xsi:type="dcterms:W3CDTF">2019-07-05T22:05:48Z</dcterms:modified>
</cp:coreProperties>
</file>