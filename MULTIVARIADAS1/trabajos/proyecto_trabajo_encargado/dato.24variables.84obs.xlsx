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ALM-2020-2\MULTIVARIADAS1\trabajos\proyecto_trabajo_encargado\"/>
    </mc:Choice>
  </mc:AlternateContent>
  <xr:revisionPtr revIDLastSave="0" documentId="13_ncr:1_{3F75BBBC-5C07-4419-936D-78A20CF476B7}" xr6:coauthVersionLast="46" xr6:coauthVersionMax="46" xr10:uidLastSave="{00000000-0000-0000-0000-000000000000}"/>
  <bookViews>
    <workbookView xWindow="22215" yWindow="1455" windowWidth="15825" windowHeight="13545" xr2:uid="{3386579A-6EC7-4309-9EED-51A70E28C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3" i="1" l="1"/>
  <c r="C85" i="1" s="1"/>
  <c r="C72" i="1"/>
  <c r="C84" i="1" s="1"/>
  <c r="C71" i="1"/>
  <c r="C83" i="1" s="1"/>
  <c r="C70" i="1"/>
  <c r="C82" i="1" s="1"/>
  <c r="C69" i="1"/>
  <c r="C81" i="1" s="1"/>
  <c r="C68" i="1"/>
  <c r="C80" i="1" s="1"/>
  <c r="C67" i="1"/>
  <c r="C79" i="1" s="1"/>
  <c r="C66" i="1"/>
  <c r="C78" i="1" s="1"/>
  <c r="C65" i="1"/>
  <c r="C77" i="1" s="1"/>
  <c r="C64" i="1"/>
  <c r="C76" i="1" s="1"/>
  <c r="T63" i="1"/>
  <c r="C63" i="1"/>
  <c r="C75" i="1" s="1"/>
  <c r="C62" i="1"/>
  <c r="C74" i="1" s="1"/>
</calcChain>
</file>

<file path=xl/sharedStrings.xml><?xml version="1.0" encoding="utf-8"?>
<sst xmlns="http://schemas.openxmlformats.org/spreadsheetml/2006/main" count="109" uniqueCount="109">
  <si>
    <t>Caudal</t>
  </si>
  <si>
    <t>Temp</t>
  </si>
  <si>
    <t xml:space="preserve">pH  </t>
  </si>
  <si>
    <t>Turb</t>
  </si>
  <si>
    <t>CE</t>
  </si>
  <si>
    <t>OD</t>
  </si>
  <si>
    <t>SD</t>
  </si>
  <si>
    <t>Alcal</t>
  </si>
  <si>
    <t>DT</t>
  </si>
  <si>
    <t>CLs</t>
  </si>
  <si>
    <t>SO4</t>
  </si>
  <si>
    <t>NO3</t>
  </si>
  <si>
    <t>NO2</t>
  </si>
  <si>
    <t>PO4</t>
  </si>
  <si>
    <t>Cu</t>
  </si>
  <si>
    <t>Al</t>
  </si>
  <si>
    <t>Fe</t>
  </si>
  <si>
    <t>Mn</t>
  </si>
  <si>
    <t>Pb</t>
  </si>
  <si>
    <t>Cd</t>
  </si>
  <si>
    <t>Zn</t>
  </si>
  <si>
    <t>As</t>
  </si>
  <si>
    <t>Coto</t>
  </si>
  <si>
    <t>Cote</t>
  </si>
  <si>
    <t>meses</t>
  </si>
  <si>
    <t>ener.2009</t>
  </si>
  <si>
    <t>febr.2009</t>
  </si>
  <si>
    <t>marz.2009</t>
  </si>
  <si>
    <t>abri.2009</t>
  </si>
  <si>
    <t>mayo.2009</t>
  </si>
  <si>
    <t>juni.2009</t>
  </si>
  <si>
    <t>juli.2009</t>
  </si>
  <si>
    <t>agos.2009</t>
  </si>
  <si>
    <t>seti.2009</t>
  </si>
  <si>
    <t>octu.2009</t>
  </si>
  <si>
    <t>novi.2009</t>
  </si>
  <si>
    <t>dici.2009</t>
  </si>
  <si>
    <t>ener.2010</t>
  </si>
  <si>
    <t>febr.2010</t>
  </si>
  <si>
    <t>marz.2010</t>
  </si>
  <si>
    <t>abri.2010</t>
  </si>
  <si>
    <t>mayo.2010</t>
  </si>
  <si>
    <t>juni.2010</t>
  </si>
  <si>
    <t>juli.2010</t>
  </si>
  <si>
    <t>agos.2010</t>
  </si>
  <si>
    <t>seti.2010</t>
  </si>
  <si>
    <t>octu.2010</t>
  </si>
  <si>
    <t>novi.2010</t>
  </si>
  <si>
    <t>dici.2010</t>
  </si>
  <si>
    <t>ener.11</t>
  </si>
  <si>
    <t>febr.11</t>
  </si>
  <si>
    <t>marz.11</t>
  </si>
  <si>
    <t>abri.11</t>
  </si>
  <si>
    <t>mayo.11</t>
  </si>
  <si>
    <t>juni.11</t>
  </si>
  <si>
    <t>juli.11</t>
  </si>
  <si>
    <t>agos.11</t>
  </si>
  <si>
    <t>seti.11</t>
  </si>
  <si>
    <t>octu.11</t>
  </si>
  <si>
    <t>novi.11</t>
  </si>
  <si>
    <t>dici.11</t>
  </si>
  <si>
    <t>ener.12</t>
  </si>
  <si>
    <t>febr.12</t>
  </si>
  <si>
    <t>marz.12</t>
  </si>
  <si>
    <t>abri.12</t>
  </si>
  <si>
    <t>mayo.12</t>
  </si>
  <si>
    <t>juni.12</t>
  </si>
  <si>
    <t>juli.12</t>
  </si>
  <si>
    <t>agos.12</t>
  </si>
  <si>
    <t>seti.12</t>
  </si>
  <si>
    <t>octu.12</t>
  </si>
  <si>
    <t>novi.12</t>
  </si>
  <si>
    <t>dici.12</t>
  </si>
  <si>
    <t>ener.13</t>
  </si>
  <si>
    <t>febr.13</t>
  </si>
  <si>
    <t>marz.13</t>
  </si>
  <si>
    <t>abri.13</t>
  </si>
  <si>
    <t>mayo.13</t>
  </si>
  <si>
    <t>juni.13</t>
  </si>
  <si>
    <t>juli.13</t>
  </si>
  <si>
    <t>agos.13</t>
  </si>
  <si>
    <t>seti.13</t>
  </si>
  <si>
    <t>octu.13</t>
  </si>
  <si>
    <t>novi.13</t>
  </si>
  <si>
    <t>dici.13</t>
  </si>
  <si>
    <t>ener.14</t>
  </si>
  <si>
    <t>febr.14</t>
  </si>
  <si>
    <t>marz.14</t>
  </si>
  <si>
    <t>abri.14</t>
  </si>
  <si>
    <t>mayo.14</t>
  </si>
  <si>
    <t>juni.14</t>
  </si>
  <si>
    <t>juli.14</t>
  </si>
  <si>
    <t>agos.14</t>
  </si>
  <si>
    <t>seti.14</t>
  </si>
  <si>
    <t>octu.14</t>
  </si>
  <si>
    <t>novi.14</t>
  </si>
  <si>
    <t>dici.14</t>
  </si>
  <si>
    <t>ener.15</t>
  </si>
  <si>
    <t>febr.15</t>
  </si>
  <si>
    <t>marz.15</t>
  </si>
  <si>
    <t>abri.15</t>
  </si>
  <si>
    <t>mayo.15</t>
  </si>
  <si>
    <t>juni.15</t>
  </si>
  <si>
    <t>juli.15</t>
  </si>
  <si>
    <t>agos.15</t>
  </si>
  <si>
    <t>seti.15</t>
  </si>
  <si>
    <t>octu.15</t>
  </si>
  <si>
    <t>novi.15</t>
  </si>
  <si>
    <t>dici.15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</si>
</sst>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theme="4" tint="-0.249977111117893"/>
      <name val="Times New Roman"/>
      <family val="1"/>
    </font>
    <font>
      <b/>
      <sz val="9"/>
      <color rgb="FFFF0000"/>
      <name val="Times New Roman"/>
      <family val="1"/>
    </font>
    <font>
      <sz val="8"/>
      <name val="Calibri"/>
      <family val="2"/>
      <scheme val="minor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2" fontId="3" fillId="2" borderId="1" xfId="0" applyNumberFormat="1" applyFont="1" applyFill="1" applyBorder="1" applyAlignment="1" applyProtection="1">
      <alignment horizontal="center"/>
      <protection locked="0"/>
    </xf>
    <xf numFmtId="164" fontId="2" fillId="2" borderId="1" xfId="0" applyNumberFormat="1" applyFont="1" applyFill="1" applyBorder="1" applyAlignment="1" applyProtection="1">
      <alignment horizontal="center"/>
      <protection locked="0"/>
    </xf>
    <xf numFmtId="165" fontId="2" fillId="2" borderId="1" xfId="0" applyNumberFormat="1" applyFont="1" applyFill="1" applyBorder="1" applyAlignment="1" applyProtection="1">
      <alignment horizontal="center"/>
      <protection locked="0"/>
    </xf>
    <xf numFmtId="165" fontId="3" fillId="2" borderId="1" xfId="0" applyNumberFormat="1" applyFont="1" applyFill="1" applyBorder="1" applyAlignment="1" applyProtection="1">
      <alignment horizontal="center"/>
      <protection locked="0"/>
    </xf>
    <xf numFmtId="2" fontId="2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 applyProtection="1">
      <alignment horizontal="center"/>
      <protection locked="0"/>
    </xf>
    <xf numFmtId="2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/>
    </xf>
    <xf numFmtId="2" fontId="7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06E0-B3CB-4703-89A3-43756DA5220E}">
  <dimension ref="A1:CG85"/>
  <sheetViews>
    <sheetView tabSelected="1" workbookViewId="0"/>
  </sheetViews>
  <sheetFormatPr baseColWidth="10" defaultRowHeight="15" x14ac:dyDescent="0.25"/>
  <sheetData>
    <row r="1" spans="1:85" x14ac:dyDescent="0.25">
      <c r="A1" s="19" t="s">
        <v>24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85" x14ac:dyDescent="0.25">
      <c r="A2" s="18" t="s">
        <v>25</v>
      </c>
      <c r="B2" s="4">
        <v>38.9</v>
      </c>
      <c r="C2" s="5">
        <v>18.649999999999999</v>
      </c>
      <c r="D2" s="4">
        <v>7.6974999999999998</v>
      </c>
      <c r="E2" s="6">
        <v>47.8</v>
      </c>
      <c r="F2" s="7">
        <v>466.75</v>
      </c>
      <c r="G2" s="6">
        <v>8.6750000000000007</v>
      </c>
      <c r="H2" s="4">
        <v>408</v>
      </c>
      <c r="I2" s="6">
        <v>90.5</v>
      </c>
      <c r="J2" s="4">
        <v>213.25</v>
      </c>
      <c r="K2" s="6">
        <v>13.2925</v>
      </c>
      <c r="L2" s="4">
        <v>138</v>
      </c>
      <c r="M2" s="6">
        <v>3.1970000000000001</v>
      </c>
      <c r="N2" s="6">
        <v>0.17</v>
      </c>
      <c r="O2" s="8">
        <v>0.23924999999999996</v>
      </c>
      <c r="P2" s="7">
        <v>3.6000000000000004E-2</v>
      </c>
      <c r="Q2" s="7">
        <v>1.7677500000000002</v>
      </c>
      <c r="R2" s="7">
        <v>1.837</v>
      </c>
      <c r="S2" s="7">
        <v>0.10625</v>
      </c>
      <c r="T2" s="7">
        <v>2.6249999999999999E-2</v>
      </c>
      <c r="U2" s="7">
        <v>1.725E-3</v>
      </c>
      <c r="V2" s="7">
        <v>0.44600000000000001</v>
      </c>
      <c r="W2" s="7">
        <v>4.4499999999999998E-2</v>
      </c>
      <c r="X2" s="6">
        <v>190298.11996073095</v>
      </c>
      <c r="Y2" s="6">
        <v>76752.258811465523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"/>
      <c r="BK2" s="9"/>
      <c r="BL2" s="9"/>
      <c r="BM2" s="9"/>
      <c r="BN2" s="9"/>
      <c r="BO2" s="9"/>
      <c r="BP2" s="9"/>
      <c r="BQ2" s="4"/>
      <c r="BR2" s="9"/>
      <c r="BS2" s="9"/>
      <c r="BT2" s="9"/>
      <c r="BU2" s="9"/>
      <c r="BV2" s="4"/>
      <c r="BW2" s="4"/>
      <c r="BX2" s="4"/>
      <c r="BY2" s="4"/>
      <c r="BZ2" s="4"/>
      <c r="CA2" s="9"/>
      <c r="CB2" s="9"/>
      <c r="CC2" s="9"/>
      <c r="CD2" s="9"/>
      <c r="CE2" s="9"/>
      <c r="CF2" s="9"/>
      <c r="CG2" s="9"/>
    </row>
    <row r="3" spans="1:85" x14ac:dyDescent="0.25">
      <c r="A3" s="18" t="s">
        <v>26</v>
      </c>
      <c r="B3" s="4">
        <v>69</v>
      </c>
      <c r="C3" s="5">
        <v>21.574999999999999</v>
      </c>
      <c r="D3" s="4">
        <v>7.8550000000000004</v>
      </c>
      <c r="E3" s="6">
        <v>321.99</v>
      </c>
      <c r="F3" s="7">
        <v>366.75</v>
      </c>
      <c r="G3" s="6">
        <v>9.25</v>
      </c>
      <c r="H3" s="4">
        <v>247</v>
      </c>
      <c r="I3" s="6">
        <v>78</v>
      </c>
      <c r="J3" s="4">
        <v>163</v>
      </c>
      <c r="K3" s="6">
        <v>8.9474999999999998</v>
      </c>
      <c r="L3" s="4">
        <v>113.5</v>
      </c>
      <c r="M3" s="6">
        <v>2.37175</v>
      </c>
      <c r="N3" s="6">
        <v>6.0500000000000005E-2</v>
      </c>
      <c r="O3" s="8">
        <v>1.575E-2</v>
      </c>
      <c r="P3" s="7">
        <v>2.5500000000000002E-2</v>
      </c>
      <c r="Q3" s="7">
        <v>2.2410000000000001</v>
      </c>
      <c r="R3" s="7">
        <v>2.8824999999999998</v>
      </c>
      <c r="S3" s="7">
        <v>9.9000000000000005E-2</v>
      </c>
      <c r="T3" s="7">
        <v>3.6249999999999998E-2</v>
      </c>
      <c r="U3" s="7">
        <v>2.725E-3</v>
      </c>
      <c r="V3" s="7">
        <v>0.56174999999999997</v>
      </c>
      <c r="W3" s="7">
        <v>2.2499999999999999E-2</v>
      </c>
      <c r="X3" s="6">
        <v>272891.91406631208</v>
      </c>
      <c r="Y3" s="6">
        <v>151935.64256191888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</row>
    <row r="4" spans="1:85" x14ac:dyDescent="0.25">
      <c r="A4" s="18" t="s">
        <v>27</v>
      </c>
      <c r="B4" s="4">
        <v>71.400000000000006</v>
      </c>
      <c r="C4" s="5">
        <v>19.625</v>
      </c>
      <c r="D4" s="4">
        <v>7.9249999999999998</v>
      </c>
      <c r="E4" s="6">
        <v>739.26499999999999</v>
      </c>
      <c r="F4" s="7">
        <v>379</v>
      </c>
      <c r="G4" s="6">
        <v>8.5749999999999993</v>
      </c>
      <c r="H4" s="4">
        <v>281</v>
      </c>
      <c r="I4" s="6">
        <v>82.5</v>
      </c>
      <c r="J4" s="4">
        <v>172.5</v>
      </c>
      <c r="K4" s="6">
        <v>10.41</v>
      </c>
      <c r="L4" s="4">
        <v>101.75</v>
      </c>
      <c r="M4" s="6">
        <v>3.7875000000000001</v>
      </c>
      <c r="N4" s="6">
        <v>0.11325</v>
      </c>
      <c r="O4" s="8">
        <v>7.9500000000000001E-2</v>
      </c>
      <c r="P4" s="7">
        <v>0.04</v>
      </c>
      <c r="Q4" s="7">
        <v>1.4885000000000002</v>
      </c>
      <c r="R4" s="7">
        <v>7.3302499999999995</v>
      </c>
      <c r="S4" s="7">
        <v>0.20499999999999999</v>
      </c>
      <c r="T4" s="7">
        <v>3.5750000000000004E-2</v>
      </c>
      <c r="U4" s="7">
        <v>2.3999999999999998E-3</v>
      </c>
      <c r="V4" s="7">
        <v>0.26824999999999999</v>
      </c>
      <c r="W4" s="7">
        <v>2.75E-2</v>
      </c>
      <c r="X4" s="6">
        <v>215381.24347593967</v>
      </c>
      <c r="Y4" s="6">
        <v>87032.181500400038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9"/>
      <c r="BK4" s="9"/>
      <c r="BL4" s="9"/>
      <c r="BM4" s="9"/>
      <c r="BN4" s="9"/>
      <c r="BO4" s="9"/>
      <c r="BP4" s="9"/>
      <c r="BQ4" s="4"/>
      <c r="BR4" s="9"/>
      <c r="BS4" s="9"/>
      <c r="BT4" s="9"/>
      <c r="BU4" s="9"/>
      <c r="BV4" s="4"/>
      <c r="BW4" s="4"/>
      <c r="BX4" s="4"/>
      <c r="BY4" s="4"/>
      <c r="BZ4" s="4"/>
      <c r="CA4" s="9"/>
      <c r="CB4" s="9"/>
      <c r="CC4" s="9"/>
      <c r="CD4" s="9"/>
      <c r="CE4" s="9"/>
      <c r="CF4" s="9"/>
      <c r="CG4" s="9"/>
    </row>
    <row r="5" spans="1:85" x14ac:dyDescent="0.25">
      <c r="A5" s="18" t="s">
        <v>28</v>
      </c>
      <c r="B5" s="4">
        <v>46.8</v>
      </c>
      <c r="C5" s="5">
        <v>20.875</v>
      </c>
      <c r="D5" s="4">
        <v>7.9550000000000001</v>
      </c>
      <c r="E5" s="6">
        <v>90.48</v>
      </c>
      <c r="F5" s="7">
        <v>419</v>
      </c>
      <c r="G5" s="6">
        <v>8.5</v>
      </c>
      <c r="H5" s="4">
        <v>225.25</v>
      </c>
      <c r="I5" s="6">
        <v>102.75</v>
      </c>
      <c r="J5" s="4">
        <v>186</v>
      </c>
      <c r="K5" s="6">
        <v>12.3</v>
      </c>
      <c r="L5" s="4">
        <v>115.25</v>
      </c>
      <c r="M5" s="6">
        <v>3.2818000000000001</v>
      </c>
      <c r="N5" s="6">
        <v>0.15525</v>
      </c>
      <c r="O5" s="8">
        <v>0.18775</v>
      </c>
      <c r="P5" s="7">
        <v>2.1999999999999999E-2</v>
      </c>
      <c r="Q5" s="7">
        <v>0.76550000000000007</v>
      </c>
      <c r="R5" s="7">
        <v>0.99224999999999997</v>
      </c>
      <c r="S5" s="7">
        <v>6.1249999999999999E-2</v>
      </c>
      <c r="T5" s="7">
        <v>2.6249999999999999E-2</v>
      </c>
      <c r="U5" s="7">
        <v>5.7499999999999999E-4</v>
      </c>
      <c r="V5" s="7">
        <v>0.16100000000000003</v>
      </c>
      <c r="W5" s="7">
        <v>2.325E-2</v>
      </c>
      <c r="X5" s="6">
        <v>297966.84263417241</v>
      </c>
      <c r="Y5" s="6">
        <v>125866.83590145821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11"/>
      <c r="BK5" s="11"/>
      <c r="BL5" s="11"/>
      <c r="BM5" s="11"/>
      <c r="BN5" s="11"/>
      <c r="BO5" s="11"/>
      <c r="BP5" s="11"/>
      <c r="BQ5" s="6"/>
      <c r="BR5" s="11"/>
      <c r="BS5" s="11"/>
      <c r="BT5" s="11"/>
      <c r="BU5" s="11"/>
      <c r="BV5" s="6"/>
      <c r="BW5" s="6"/>
      <c r="BX5" s="6"/>
      <c r="BY5" s="6"/>
      <c r="BZ5" s="6"/>
      <c r="CA5" s="11"/>
      <c r="CB5" s="11"/>
      <c r="CC5" s="11"/>
      <c r="CD5" s="11"/>
      <c r="CE5" s="11"/>
      <c r="CF5" s="11"/>
      <c r="CG5" s="11"/>
    </row>
    <row r="6" spans="1:85" x14ac:dyDescent="0.25">
      <c r="A6" s="18" t="s">
        <v>29</v>
      </c>
      <c r="B6" s="4">
        <v>19.899999999999999</v>
      </c>
      <c r="C6" s="5">
        <v>18.875</v>
      </c>
      <c r="D6" s="4">
        <v>8.11</v>
      </c>
      <c r="E6" s="6">
        <v>17.965</v>
      </c>
      <c r="F6" s="7">
        <v>575.5</v>
      </c>
      <c r="G6" s="6">
        <v>8.8000000000000007</v>
      </c>
      <c r="H6" s="4">
        <v>415.5</v>
      </c>
      <c r="I6" s="6">
        <v>126</v>
      </c>
      <c r="J6" s="4">
        <v>263</v>
      </c>
      <c r="K6" s="6">
        <v>20</v>
      </c>
      <c r="L6" s="4">
        <v>156.75</v>
      </c>
      <c r="M6" s="6">
        <v>4.6107499999999995</v>
      </c>
      <c r="N6" s="6">
        <v>6.4500000000000002E-2</v>
      </c>
      <c r="O6" s="8">
        <v>0.27024999999999999</v>
      </c>
      <c r="P6" s="7">
        <v>1.2249999999999999E-2</v>
      </c>
      <c r="Q6" s="7">
        <v>0.24525</v>
      </c>
      <c r="R6" s="7">
        <v>0.14624999999999999</v>
      </c>
      <c r="S6" s="7">
        <v>1.4499999999999999E-2</v>
      </c>
      <c r="T6" s="7">
        <v>1.125E-2</v>
      </c>
      <c r="U6" s="7">
        <v>1.5499999999999999E-3</v>
      </c>
      <c r="V6" s="7">
        <v>0.18175000000000002</v>
      </c>
      <c r="W6" s="7">
        <v>2.2499999999999999E-2</v>
      </c>
      <c r="X6" s="6">
        <v>400187.84191435837</v>
      </c>
      <c r="Y6" s="6">
        <v>152662.20290626402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12"/>
      <c r="BK6" s="12"/>
      <c r="BL6" s="12"/>
      <c r="BM6" s="12"/>
      <c r="BN6" s="12"/>
      <c r="BO6" s="12"/>
      <c r="BP6" s="12"/>
      <c r="BQ6" s="7"/>
      <c r="BR6" s="12"/>
      <c r="BS6" s="12"/>
      <c r="BT6" s="12"/>
      <c r="BU6" s="12"/>
      <c r="BV6" s="7"/>
      <c r="BW6" s="7"/>
      <c r="BX6" s="7"/>
      <c r="BY6" s="7"/>
      <c r="BZ6" s="7"/>
      <c r="CA6" s="12"/>
      <c r="CB6" s="12"/>
      <c r="CC6" s="12"/>
      <c r="CD6" s="12"/>
      <c r="CE6" s="12"/>
      <c r="CF6" s="12"/>
      <c r="CG6" s="12"/>
    </row>
    <row r="7" spans="1:85" x14ac:dyDescent="0.25">
      <c r="A7" s="18" t="s">
        <v>30</v>
      </c>
      <c r="B7" s="4">
        <v>18.8</v>
      </c>
      <c r="C7" s="5">
        <v>16.524999999999999</v>
      </c>
      <c r="D7" s="4">
        <v>7.85</v>
      </c>
      <c r="E7" s="6">
        <v>11.955</v>
      </c>
      <c r="F7" s="7">
        <v>612</v>
      </c>
      <c r="G7" s="6">
        <v>8.4</v>
      </c>
      <c r="H7" s="4">
        <v>531</v>
      </c>
      <c r="I7" s="6">
        <v>135.25</v>
      </c>
      <c r="J7" s="4">
        <v>282</v>
      </c>
      <c r="K7" s="6">
        <v>20.25</v>
      </c>
      <c r="L7" s="4">
        <v>165.5</v>
      </c>
      <c r="M7" s="6">
        <v>5.0407500000000001</v>
      </c>
      <c r="N7" s="6">
        <v>0.308</v>
      </c>
      <c r="O7" s="8">
        <v>0.26775000000000004</v>
      </c>
      <c r="P7" s="7">
        <v>4.8000000000000001E-2</v>
      </c>
      <c r="Q7" s="7">
        <v>1.1547499999999999</v>
      </c>
      <c r="R7" s="7">
        <v>3.0760000000000005</v>
      </c>
      <c r="S7" s="7">
        <v>0.19575000000000001</v>
      </c>
      <c r="T7" s="7">
        <v>3.5250000000000004E-2</v>
      </c>
      <c r="U7" s="7">
        <v>2.8250000000000003E-3</v>
      </c>
      <c r="V7" s="7">
        <v>0.64074999999999993</v>
      </c>
      <c r="W7" s="7">
        <v>2.7999999999999997E-2</v>
      </c>
      <c r="X7" s="6">
        <v>444971.9183694229</v>
      </c>
      <c r="Y7" s="6">
        <v>181777.012121048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11"/>
      <c r="BK7" s="11"/>
      <c r="BL7" s="11"/>
      <c r="BM7" s="11"/>
      <c r="BN7" s="11"/>
      <c r="BO7" s="11"/>
      <c r="BP7" s="11"/>
      <c r="BQ7" s="6"/>
      <c r="BR7" s="11"/>
      <c r="BS7" s="11"/>
      <c r="BT7" s="11"/>
      <c r="BU7" s="11"/>
      <c r="BV7" s="6"/>
      <c r="BW7" s="6"/>
      <c r="BX7" s="6"/>
      <c r="BY7" s="6"/>
      <c r="BZ7" s="6"/>
      <c r="CA7" s="11"/>
      <c r="CB7" s="11"/>
      <c r="CC7" s="11"/>
      <c r="CD7" s="11"/>
      <c r="CE7" s="11"/>
      <c r="CF7" s="11"/>
      <c r="CG7" s="11"/>
    </row>
    <row r="8" spans="1:85" x14ac:dyDescent="0.25">
      <c r="A8" s="18" t="s">
        <v>31</v>
      </c>
      <c r="B8" s="4">
        <v>18.3</v>
      </c>
      <c r="C8" s="5">
        <v>16.975000000000001</v>
      </c>
      <c r="D8" s="4">
        <v>8.0425000000000004</v>
      </c>
      <c r="E8" s="6">
        <v>13.53</v>
      </c>
      <c r="F8" s="7">
        <v>651.5</v>
      </c>
      <c r="G8" s="6">
        <v>8.4250000000000007</v>
      </c>
      <c r="H8" s="4">
        <v>516.25</v>
      </c>
      <c r="I8" s="6">
        <v>159.25</v>
      </c>
      <c r="J8" s="4">
        <v>293</v>
      </c>
      <c r="K8" s="6">
        <v>19.8675</v>
      </c>
      <c r="L8" s="4">
        <v>185.5</v>
      </c>
      <c r="M8" s="6">
        <v>6.3747500000000006</v>
      </c>
      <c r="N8" s="6">
        <v>0.18149999999999999</v>
      </c>
      <c r="O8" s="8">
        <v>0.33050000000000002</v>
      </c>
      <c r="P8" s="7">
        <v>1.0999999999999999E-2</v>
      </c>
      <c r="Q8" s="7">
        <v>0.3135</v>
      </c>
      <c r="R8" s="7">
        <v>0.32674999999999998</v>
      </c>
      <c r="S8" s="7">
        <v>3.6000000000000004E-2</v>
      </c>
      <c r="T8" s="7">
        <v>2.1749999999999999E-2</v>
      </c>
      <c r="U8" s="7">
        <v>1.5249999999999999E-3</v>
      </c>
      <c r="V8" s="7">
        <v>0.20275000000000001</v>
      </c>
      <c r="W8" s="7">
        <v>2.2499999999999999E-2</v>
      </c>
      <c r="X8" s="6">
        <v>163442.47708295146</v>
      </c>
      <c r="Y8" s="6">
        <v>45437.723956515532</v>
      </c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9"/>
      <c r="BK8" s="9"/>
      <c r="BL8" s="9"/>
      <c r="BM8" s="9"/>
      <c r="BN8" s="9"/>
      <c r="BO8" s="9"/>
      <c r="BP8" s="9"/>
      <c r="BQ8" s="4"/>
      <c r="BR8" s="9"/>
      <c r="BS8" s="9"/>
      <c r="BT8" s="9"/>
      <c r="BU8" s="9"/>
      <c r="BV8" s="4"/>
      <c r="BW8" s="4"/>
      <c r="BX8" s="4"/>
      <c r="BY8" s="4"/>
      <c r="BZ8" s="4"/>
      <c r="CA8" s="9"/>
      <c r="CB8" s="9"/>
      <c r="CC8" s="9"/>
      <c r="CD8" s="9"/>
      <c r="CE8" s="9"/>
      <c r="CF8" s="9"/>
      <c r="CG8" s="9"/>
    </row>
    <row r="9" spans="1:85" x14ac:dyDescent="0.25">
      <c r="A9" s="18" t="s">
        <v>32</v>
      </c>
      <c r="B9" s="4">
        <v>19.3</v>
      </c>
      <c r="C9" s="5">
        <v>15.975</v>
      </c>
      <c r="D9" s="4">
        <v>7.9749999999999996</v>
      </c>
      <c r="E9" s="6">
        <v>9.4550000000000001</v>
      </c>
      <c r="F9" s="7">
        <v>632.25</v>
      </c>
      <c r="G9" s="6">
        <v>9.1750000000000007</v>
      </c>
      <c r="H9" s="4">
        <v>531.5</v>
      </c>
      <c r="I9" s="6">
        <v>139.75</v>
      </c>
      <c r="J9" s="4">
        <v>260</v>
      </c>
      <c r="K9" s="6">
        <v>19.75</v>
      </c>
      <c r="L9" s="4">
        <v>180</v>
      </c>
      <c r="M9" s="6">
        <v>5.8025000000000002</v>
      </c>
      <c r="N9" s="6">
        <v>0.58450000000000002</v>
      </c>
      <c r="O9" s="8">
        <v>0.29449999999999998</v>
      </c>
      <c r="P9" s="7">
        <v>1.0749999999999999E-2</v>
      </c>
      <c r="Q9" s="7">
        <v>0.29675000000000001</v>
      </c>
      <c r="R9" s="7">
        <v>0.41749999999999998</v>
      </c>
      <c r="S9" s="7">
        <v>4.0999999999999995E-2</v>
      </c>
      <c r="T9" s="7">
        <v>6.2500000000000003E-3</v>
      </c>
      <c r="U9" s="7">
        <v>1.65E-3</v>
      </c>
      <c r="V9" s="7">
        <v>0.19</v>
      </c>
      <c r="W9" s="7">
        <v>1.6250000000000001E-2</v>
      </c>
      <c r="X9" s="6">
        <v>254793.11509050042</v>
      </c>
      <c r="Y9" s="6">
        <v>65057.630780856671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11"/>
      <c r="BK9" s="11"/>
      <c r="BL9" s="11"/>
      <c r="BM9" s="11"/>
      <c r="BN9" s="11"/>
      <c r="BO9" s="11"/>
      <c r="BP9" s="11"/>
      <c r="BQ9" s="6"/>
      <c r="BR9" s="11"/>
      <c r="BS9" s="11"/>
      <c r="BT9" s="11"/>
      <c r="BU9" s="11"/>
      <c r="BV9" s="6"/>
      <c r="BW9" s="6"/>
      <c r="BX9" s="6"/>
      <c r="BY9" s="6"/>
      <c r="BZ9" s="6"/>
      <c r="CA9" s="11"/>
      <c r="CB9" s="11"/>
      <c r="CC9" s="11"/>
      <c r="CD9" s="11"/>
      <c r="CE9" s="11"/>
      <c r="CF9" s="11"/>
      <c r="CG9" s="11"/>
    </row>
    <row r="10" spans="1:85" x14ac:dyDescent="0.25">
      <c r="A10" s="18" t="s">
        <v>33</v>
      </c>
      <c r="B10" s="4">
        <v>20.6</v>
      </c>
      <c r="C10" s="5">
        <v>16.55</v>
      </c>
      <c r="D10" s="4">
        <v>7.8849999999999998</v>
      </c>
      <c r="E10" s="6">
        <v>15.09</v>
      </c>
      <c r="F10" s="7">
        <v>576.75</v>
      </c>
      <c r="G10" s="6">
        <v>7.95</v>
      </c>
      <c r="H10" s="4">
        <v>480</v>
      </c>
      <c r="I10" s="6">
        <v>141</v>
      </c>
      <c r="J10" s="4">
        <v>253</v>
      </c>
      <c r="K10" s="6">
        <v>20.75</v>
      </c>
      <c r="L10" s="4">
        <v>152.25</v>
      </c>
      <c r="M10" s="6">
        <v>3.6547499999999999</v>
      </c>
      <c r="N10" s="6">
        <v>0.28875000000000001</v>
      </c>
      <c r="O10" s="8">
        <v>0.41825000000000001</v>
      </c>
      <c r="P10" s="7">
        <v>1.0999999999999999E-2</v>
      </c>
      <c r="Q10" s="7">
        <v>0.33175000000000004</v>
      </c>
      <c r="R10" s="7">
        <v>0.38250000000000001</v>
      </c>
      <c r="S10" s="7">
        <v>3.3999999999999996E-2</v>
      </c>
      <c r="T10" s="7">
        <v>2.1749999999999999E-2</v>
      </c>
      <c r="U10" s="7">
        <v>2.15E-3</v>
      </c>
      <c r="V10" s="7">
        <v>0.13650000000000001</v>
      </c>
      <c r="W10" s="7">
        <v>2.0499999999999997E-2</v>
      </c>
      <c r="X10" s="6">
        <v>258298.26166898385</v>
      </c>
      <c r="Y10" s="6">
        <v>77434.346632731118</v>
      </c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9"/>
      <c r="BK10" s="9"/>
      <c r="BL10" s="9"/>
      <c r="BM10" s="9"/>
      <c r="BN10" s="9"/>
      <c r="BO10" s="9"/>
      <c r="BP10" s="9"/>
      <c r="BQ10" s="4"/>
      <c r="BR10" s="9"/>
      <c r="BS10" s="9"/>
      <c r="BT10" s="9"/>
      <c r="BU10" s="9"/>
      <c r="BV10" s="4"/>
      <c r="BW10" s="4"/>
      <c r="BX10" s="4"/>
      <c r="BY10" s="4"/>
      <c r="BZ10" s="4"/>
      <c r="CA10" s="9"/>
      <c r="CB10" s="9"/>
      <c r="CC10" s="9"/>
      <c r="CD10" s="9"/>
      <c r="CE10" s="9"/>
      <c r="CF10" s="9"/>
      <c r="CG10" s="9"/>
    </row>
    <row r="11" spans="1:85" x14ac:dyDescent="0.25">
      <c r="A11" s="18" t="s">
        <v>34</v>
      </c>
      <c r="B11" s="4">
        <v>20.8</v>
      </c>
      <c r="C11" s="5">
        <v>17.95</v>
      </c>
      <c r="D11" s="4">
        <v>7.66</v>
      </c>
      <c r="E11" s="6">
        <v>11.845000000000001</v>
      </c>
      <c r="F11" s="7">
        <v>564.25</v>
      </c>
      <c r="G11" s="6">
        <v>8.875</v>
      </c>
      <c r="H11" s="4">
        <v>395.5</v>
      </c>
      <c r="I11" s="6">
        <v>109.25</v>
      </c>
      <c r="J11" s="4">
        <v>259.25</v>
      </c>
      <c r="K11" s="6">
        <v>18.13</v>
      </c>
      <c r="L11" s="4">
        <v>126.5</v>
      </c>
      <c r="M11" s="6">
        <v>3.3557499999999996</v>
      </c>
      <c r="N11" s="6">
        <v>0.26374999999999998</v>
      </c>
      <c r="O11" s="8">
        <v>0.308</v>
      </c>
      <c r="P11" s="7">
        <v>9.2499999999999995E-3</v>
      </c>
      <c r="Q11" s="7">
        <v>0.57499999999999996</v>
      </c>
      <c r="R11" s="7">
        <v>0.318</v>
      </c>
      <c r="S11" s="7">
        <v>3.2000000000000001E-2</v>
      </c>
      <c r="T11" s="7">
        <v>8.0000000000000002E-3</v>
      </c>
      <c r="U11" s="7">
        <v>1.175E-3</v>
      </c>
      <c r="V11" s="7">
        <v>0.10350000000000001</v>
      </c>
      <c r="W11" s="7">
        <v>1.4249999999999999E-2</v>
      </c>
      <c r="X11" s="6">
        <v>330433.69532122702</v>
      </c>
      <c r="Y11" s="6">
        <v>78771.818633411283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11"/>
      <c r="BK11" s="11"/>
      <c r="BL11" s="11"/>
      <c r="BM11" s="11"/>
      <c r="BN11" s="11"/>
      <c r="BO11" s="11"/>
      <c r="BP11" s="11"/>
      <c r="BQ11" s="6"/>
      <c r="BR11" s="11"/>
      <c r="BS11" s="11"/>
      <c r="BT11" s="11"/>
      <c r="BU11" s="11"/>
      <c r="BV11" s="6"/>
      <c r="BW11" s="6"/>
      <c r="BX11" s="6"/>
      <c r="BY11" s="6"/>
      <c r="BZ11" s="6"/>
      <c r="CA11" s="11"/>
      <c r="CB11" s="11"/>
      <c r="CC11" s="11"/>
      <c r="CD11" s="11"/>
      <c r="CE11" s="11"/>
      <c r="CF11" s="11"/>
      <c r="CG11" s="11"/>
    </row>
    <row r="12" spans="1:85" x14ac:dyDescent="0.25">
      <c r="A12" s="18" t="s">
        <v>35</v>
      </c>
      <c r="B12" s="4">
        <v>29.5</v>
      </c>
      <c r="C12" s="5">
        <v>17.3</v>
      </c>
      <c r="D12" s="4">
        <v>7.7649999999999997</v>
      </c>
      <c r="E12" s="6">
        <v>149.965</v>
      </c>
      <c r="F12" s="7">
        <v>548.25</v>
      </c>
      <c r="G12" s="6">
        <v>8.7750000000000004</v>
      </c>
      <c r="H12" s="4">
        <v>384</v>
      </c>
      <c r="I12" s="6">
        <v>99.25</v>
      </c>
      <c r="J12" s="4">
        <v>239.75</v>
      </c>
      <c r="K12" s="6">
        <v>18.8475</v>
      </c>
      <c r="L12" s="4">
        <v>124.25</v>
      </c>
      <c r="M12" s="6">
        <v>4.2137500000000001</v>
      </c>
      <c r="N12" s="6">
        <v>0.23349999999999999</v>
      </c>
      <c r="O12" s="8">
        <v>0.25700000000000001</v>
      </c>
      <c r="P12" s="7">
        <v>1.8250000000000002E-2</v>
      </c>
      <c r="Q12" s="7">
        <v>0.54574999999999996</v>
      </c>
      <c r="R12" s="7">
        <v>0.76749999999999996</v>
      </c>
      <c r="S12" s="7">
        <v>5.7750000000000003E-2</v>
      </c>
      <c r="T12" s="7">
        <v>1.975E-2</v>
      </c>
      <c r="U12" s="7">
        <v>1.0499999999999999E-3</v>
      </c>
      <c r="V12" s="7">
        <v>0.17599999999999999</v>
      </c>
      <c r="W12" s="7">
        <v>6.2500000000000003E-3</v>
      </c>
      <c r="X12" s="6">
        <v>317852.7496632681</v>
      </c>
      <c r="Y12" s="6">
        <v>106873.46440680156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"/>
      <c r="BK12" s="9"/>
      <c r="BL12" s="9"/>
      <c r="BM12" s="9"/>
      <c r="BN12" s="9"/>
      <c r="BO12" s="9"/>
      <c r="BP12" s="9"/>
      <c r="BQ12" s="4"/>
      <c r="BR12" s="9"/>
      <c r="BS12" s="9"/>
      <c r="BT12" s="9"/>
      <c r="BU12" s="9"/>
      <c r="BV12" s="4"/>
      <c r="BW12" s="4"/>
      <c r="BX12" s="4"/>
      <c r="BY12" s="4"/>
      <c r="BZ12" s="4"/>
      <c r="CA12" s="9"/>
      <c r="CB12" s="9"/>
      <c r="CC12" s="9"/>
      <c r="CD12" s="9"/>
      <c r="CE12" s="9"/>
      <c r="CF12" s="9"/>
      <c r="CG12" s="9"/>
    </row>
    <row r="13" spans="1:85" x14ac:dyDescent="0.25">
      <c r="A13" s="18" t="s">
        <v>36</v>
      </c>
      <c r="B13" s="4">
        <v>38.799999999999997</v>
      </c>
      <c r="C13" s="5">
        <v>17.675000000000001</v>
      </c>
      <c r="D13" s="4">
        <v>7.95</v>
      </c>
      <c r="E13" s="6">
        <v>46.244999999999997</v>
      </c>
      <c r="F13" s="7">
        <v>510.5</v>
      </c>
      <c r="G13" s="6">
        <v>8.7249999999999996</v>
      </c>
      <c r="H13" s="4">
        <v>341.75</v>
      </c>
      <c r="I13" s="6">
        <v>96.25</v>
      </c>
      <c r="J13" s="4">
        <v>205</v>
      </c>
      <c r="K13" s="6">
        <v>13.2775</v>
      </c>
      <c r="L13" s="4">
        <v>107.75</v>
      </c>
      <c r="M13" s="6">
        <v>3.55775</v>
      </c>
      <c r="N13" s="6">
        <v>0.20450000000000002</v>
      </c>
      <c r="O13" s="8">
        <v>0.32449999999999996</v>
      </c>
      <c r="P13" s="7">
        <v>1.55E-2</v>
      </c>
      <c r="Q13" s="7">
        <v>0.55325000000000002</v>
      </c>
      <c r="R13" s="7">
        <v>0.76150000000000007</v>
      </c>
      <c r="S13" s="7">
        <v>7.1750000000000008E-2</v>
      </c>
      <c r="T13" s="7">
        <v>1.9250000000000003E-2</v>
      </c>
      <c r="U13" s="7">
        <v>1.5500000000000002E-3</v>
      </c>
      <c r="V13" s="7">
        <v>0.25850000000000001</v>
      </c>
      <c r="W13" s="7">
        <v>1.9250000000000003E-2</v>
      </c>
      <c r="X13" s="6">
        <v>264849.72623776732</v>
      </c>
      <c r="Y13" s="6">
        <v>127273.83401912375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11"/>
      <c r="BK13" s="11"/>
      <c r="BL13" s="11"/>
      <c r="BM13" s="11"/>
      <c r="BN13" s="11"/>
      <c r="BO13" s="11"/>
      <c r="BP13" s="11"/>
      <c r="BQ13" s="6"/>
      <c r="BR13" s="11"/>
      <c r="BS13" s="11"/>
      <c r="BT13" s="11"/>
      <c r="BU13" s="11"/>
      <c r="BV13" s="6"/>
      <c r="BW13" s="6"/>
      <c r="BX13" s="6"/>
      <c r="BY13" s="6"/>
      <c r="BZ13" s="6"/>
      <c r="CA13" s="11"/>
      <c r="CB13" s="11"/>
      <c r="CC13" s="11"/>
      <c r="CD13" s="11"/>
      <c r="CE13" s="11"/>
      <c r="CF13" s="11"/>
      <c r="CG13" s="11"/>
    </row>
    <row r="14" spans="1:85" x14ac:dyDescent="0.25">
      <c r="A14" s="18" t="s">
        <v>37</v>
      </c>
      <c r="B14" s="4">
        <v>53.6</v>
      </c>
      <c r="C14" s="5">
        <v>20.225000000000001</v>
      </c>
      <c r="D14" s="4">
        <v>7.7424999999999997</v>
      </c>
      <c r="E14" s="6">
        <v>132.97499999999999</v>
      </c>
      <c r="F14" s="7">
        <v>403.75</v>
      </c>
      <c r="G14" s="6">
        <v>8.26</v>
      </c>
      <c r="H14" s="4">
        <v>216.5</v>
      </c>
      <c r="I14" s="6">
        <v>84</v>
      </c>
      <c r="J14" s="4">
        <v>176</v>
      </c>
      <c r="K14" s="6">
        <v>9.0124999999999993</v>
      </c>
      <c r="L14" s="4">
        <v>101.75</v>
      </c>
      <c r="M14" s="6">
        <v>2.6360000000000001</v>
      </c>
      <c r="N14" s="6">
        <v>0.17899999999999999</v>
      </c>
      <c r="O14" s="8">
        <v>0.14300000000000002</v>
      </c>
      <c r="P14" s="7">
        <v>5.475E-2</v>
      </c>
      <c r="Q14" s="7">
        <v>4.4092500000000001</v>
      </c>
      <c r="R14" s="7">
        <v>6.4945000000000004</v>
      </c>
      <c r="S14" s="7">
        <v>0.27775</v>
      </c>
      <c r="T14" s="7">
        <v>4.2249999999999996E-2</v>
      </c>
      <c r="U14" s="7">
        <v>2.5500000000000002E-3</v>
      </c>
      <c r="V14" s="7">
        <v>0.46375</v>
      </c>
      <c r="W14" s="7">
        <v>2.4500000000000001E-2</v>
      </c>
      <c r="X14" s="6">
        <v>423846.21363292565</v>
      </c>
      <c r="Y14" s="6">
        <v>178453.36301268474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11"/>
      <c r="BK14" s="11"/>
      <c r="BL14" s="11"/>
      <c r="BM14" s="11"/>
      <c r="BN14" s="11"/>
      <c r="BO14" s="11"/>
      <c r="BP14" s="11"/>
      <c r="BQ14" s="6"/>
      <c r="BR14" s="11"/>
      <c r="BS14" s="11"/>
      <c r="BT14" s="11"/>
      <c r="BU14" s="11"/>
      <c r="BV14" s="6"/>
      <c r="BW14" s="6"/>
      <c r="BX14" s="6"/>
      <c r="BY14" s="6"/>
      <c r="BZ14" s="6"/>
      <c r="CA14" s="11"/>
      <c r="CB14" s="11"/>
      <c r="CC14" s="11"/>
      <c r="CD14" s="11"/>
      <c r="CE14" s="11"/>
      <c r="CF14" s="11"/>
      <c r="CG14" s="11"/>
    </row>
    <row r="15" spans="1:85" x14ac:dyDescent="0.25">
      <c r="A15" s="18" t="s">
        <v>38</v>
      </c>
      <c r="B15" s="4">
        <v>49.7</v>
      </c>
      <c r="C15" s="5">
        <v>21.75</v>
      </c>
      <c r="D15" s="4">
        <v>7.8550000000000004</v>
      </c>
      <c r="E15" s="6">
        <v>321.99</v>
      </c>
      <c r="F15" s="7">
        <v>554.25</v>
      </c>
      <c r="G15" s="6">
        <v>8.3249999999999993</v>
      </c>
      <c r="H15" s="4">
        <v>278.5</v>
      </c>
      <c r="I15" s="6">
        <v>110.75</v>
      </c>
      <c r="J15" s="4">
        <v>223.5</v>
      </c>
      <c r="K15" s="6">
        <v>13.4125</v>
      </c>
      <c r="L15" s="4">
        <v>149.5</v>
      </c>
      <c r="M15" s="6">
        <v>2.86625</v>
      </c>
      <c r="N15" s="6">
        <v>0.11625000000000001</v>
      </c>
      <c r="O15" s="8">
        <v>0.21175000000000002</v>
      </c>
      <c r="P15" s="7">
        <v>4.5499999999999999E-2</v>
      </c>
      <c r="Q15" s="7">
        <v>3.2465000000000002</v>
      </c>
      <c r="R15" s="7">
        <v>3.3515000000000001</v>
      </c>
      <c r="S15" s="7">
        <v>0.11075</v>
      </c>
      <c r="T15" s="7">
        <v>4.65E-2</v>
      </c>
      <c r="U15" s="7">
        <v>2.1999999999999997E-3</v>
      </c>
      <c r="V15" s="7">
        <v>0.26149999999999995</v>
      </c>
      <c r="W15" s="7">
        <v>4.1999999999999996E-2</v>
      </c>
      <c r="X15" s="6">
        <v>305339.4853263204</v>
      </c>
      <c r="Y15" s="6">
        <v>137078.18354065783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</row>
    <row r="16" spans="1:85" x14ac:dyDescent="0.25">
      <c r="A16" s="18" t="s">
        <v>39</v>
      </c>
      <c r="B16" s="4">
        <v>64.3</v>
      </c>
      <c r="C16" s="5">
        <v>22.574999999999999</v>
      </c>
      <c r="D16" s="4">
        <v>7.9249999999999998</v>
      </c>
      <c r="E16" s="6">
        <v>739.26499999999999</v>
      </c>
      <c r="F16" s="7">
        <v>412</v>
      </c>
      <c r="G16" s="6">
        <v>8.4250000000000007</v>
      </c>
      <c r="H16" s="4">
        <v>335</v>
      </c>
      <c r="I16" s="6">
        <v>82.922499999999999</v>
      </c>
      <c r="J16" s="4">
        <v>152.245</v>
      </c>
      <c r="K16" s="6">
        <v>22</v>
      </c>
      <c r="L16" s="4">
        <v>79</v>
      </c>
      <c r="M16" s="6">
        <v>3.1222500000000002</v>
      </c>
      <c r="N16" s="6">
        <v>0.1125</v>
      </c>
      <c r="O16" s="8">
        <v>8.6249999999999993E-2</v>
      </c>
      <c r="P16" s="7">
        <v>4.6249999999999999E-2</v>
      </c>
      <c r="Q16" s="7">
        <v>28.281500000000001</v>
      </c>
      <c r="R16" s="7">
        <v>10.63175</v>
      </c>
      <c r="S16" s="7">
        <v>0.26850000000000002</v>
      </c>
      <c r="T16" s="7">
        <v>5.1000000000000004E-2</v>
      </c>
      <c r="U16" s="7">
        <v>2.0249999999999999E-3</v>
      </c>
      <c r="V16" s="7">
        <v>0.29199999999999998</v>
      </c>
      <c r="W16" s="7">
        <v>9.0500000000000011E-2</v>
      </c>
      <c r="X16" s="6">
        <v>538200.62200121628</v>
      </c>
      <c r="Y16" s="6">
        <v>231802.37753024162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12"/>
      <c r="BK16" s="12"/>
      <c r="BL16" s="12"/>
      <c r="BM16" s="12"/>
      <c r="BN16" s="12"/>
      <c r="BO16" s="12"/>
      <c r="BP16" s="12"/>
      <c r="BQ16" s="7"/>
      <c r="BR16" s="12"/>
      <c r="BS16" s="12"/>
      <c r="BT16" s="12"/>
      <c r="BU16" s="12"/>
      <c r="BV16" s="7"/>
      <c r="BW16" s="7"/>
      <c r="BX16" s="7"/>
      <c r="BY16" s="7"/>
      <c r="BZ16" s="7"/>
      <c r="CA16" s="12"/>
      <c r="CB16" s="12"/>
      <c r="CC16" s="12"/>
      <c r="CD16" s="12"/>
      <c r="CE16" s="12"/>
      <c r="CF16" s="12"/>
      <c r="CG16" s="12"/>
    </row>
    <row r="17" spans="1:85" x14ac:dyDescent="0.25">
      <c r="A17" s="18" t="s">
        <v>40</v>
      </c>
      <c r="B17" s="4">
        <v>42.5</v>
      </c>
      <c r="C17" s="5">
        <v>21.75</v>
      </c>
      <c r="D17" s="4">
        <v>7.9550000000000001</v>
      </c>
      <c r="E17" s="6">
        <v>90.474999999999994</v>
      </c>
      <c r="F17" s="7">
        <v>496.5</v>
      </c>
      <c r="G17" s="6">
        <v>8.6750000000000007</v>
      </c>
      <c r="H17" s="4">
        <v>309.5</v>
      </c>
      <c r="I17" s="6">
        <v>86</v>
      </c>
      <c r="J17" s="4">
        <v>192.5</v>
      </c>
      <c r="K17" s="6">
        <v>11.057499999999999</v>
      </c>
      <c r="L17" s="4">
        <v>111.75</v>
      </c>
      <c r="M17" s="6">
        <v>2.49525</v>
      </c>
      <c r="N17" s="6">
        <v>0.19425000000000001</v>
      </c>
      <c r="O17" s="8">
        <v>0.17249999999999999</v>
      </c>
      <c r="P17" s="7">
        <v>3.0249999999999999E-2</v>
      </c>
      <c r="Q17" s="7">
        <v>4.931</v>
      </c>
      <c r="R17" s="7">
        <v>3.76275</v>
      </c>
      <c r="S17" s="7">
        <v>0.21725</v>
      </c>
      <c r="T17" s="7">
        <v>3.7999999999999999E-2</v>
      </c>
      <c r="U17" s="7">
        <v>2.0500000000000002E-3</v>
      </c>
      <c r="V17" s="7">
        <v>0.30900000000000005</v>
      </c>
      <c r="W17" s="7">
        <v>0.11649999999999999</v>
      </c>
      <c r="X17" s="6">
        <v>379000.00604694302</v>
      </c>
      <c r="Y17" s="6">
        <v>115451.77297863791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12"/>
      <c r="BK17" s="12"/>
      <c r="BL17" s="12"/>
      <c r="BM17" s="12"/>
      <c r="BN17" s="12"/>
      <c r="BO17" s="12"/>
      <c r="BP17" s="12"/>
      <c r="BQ17" s="7"/>
      <c r="BR17" s="12"/>
      <c r="BS17" s="12"/>
      <c r="BT17" s="12"/>
      <c r="BU17" s="12"/>
      <c r="BV17" s="7"/>
      <c r="BW17" s="7"/>
      <c r="BX17" s="7"/>
      <c r="BY17" s="7"/>
      <c r="BZ17" s="7"/>
      <c r="CA17" s="12"/>
      <c r="CB17" s="12"/>
      <c r="CC17" s="12"/>
      <c r="CD17" s="12"/>
      <c r="CE17" s="12"/>
      <c r="CF17" s="12"/>
      <c r="CG17" s="12"/>
    </row>
    <row r="18" spans="1:85" x14ac:dyDescent="0.25">
      <c r="A18" s="18" t="s">
        <v>41</v>
      </c>
      <c r="B18" s="4">
        <v>23.3</v>
      </c>
      <c r="C18" s="5">
        <v>19.45</v>
      </c>
      <c r="D18" s="4">
        <v>8.11</v>
      </c>
      <c r="E18" s="6">
        <v>17.965</v>
      </c>
      <c r="F18" s="7">
        <v>700</v>
      </c>
      <c r="G18" s="6">
        <v>8</v>
      </c>
      <c r="H18" s="4">
        <v>377.5</v>
      </c>
      <c r="I18" s="6">
        <v>132.5</v>
      </c>
      <c r="J18" s="4">
        <v>283.5</v>
      </c>
      <c r="K18" s="6">
        <v>37.79</v>
      </c>
      <c r="L18" s="4">
        <v>125.5</v>
      </c>
      <c r="M18" s="6">
        <v>4.8897500000000003</v>
      </c>
      <c r="N18" s="6">
        <v>0.22500000000000001</v>
      </c>
      <c r="O18" s="8">
        <v>0.37924999999999998</v>
      </c>
      <c r="P18" s="7">
        <v>2.1499999999999998E-2</v>
      </c>
      <c r="Q18" s="7">
        <v>0.53049999999999997</v>
      </c>
      <c r="R18" s="7">
        <v>0.61450000000000005</v>
      </c>
      <c r="S18" s="7">
        <v>8.7249999999999994E-2</v>
      </c>
      <c r="T18" s="7">
        <v>1.7500000000000002E-2</v>
      </c>
      <c r="U18" s="7">
        <v>3.15E-3</v>
      </c>
      <c r="V18" s="7">
        <v>0.32150000000000001</v>
      </c>
      <c r="W18" s="7">
        <v>2.8999999999999998E-2</v>
      </c>
      <c r="X18" s="6">
        <v>299836.90155312989</v>
      </c>
      <c r="Y18" s="6">
        <v>100393.94974619866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12"/>
      <c r="BK18" s="12"/>
      <c r="BL18" s="12"/>
      <c r="BM18" s="12"/>
      <c r="BN18" s="12"/>
      <c r="BO18" s="12"/>
      <c r="BP18" s="12"/>
      <c r="BQ18" s="7"/>
      <c r="BR18" s="12"/>
      <c r="BS18" s="12"/>
      <c r="BT18" s="12"/>
      <c r="BU18" s="12"/>
      <c r="BV18" s="7"/>
      <c r="BW18" s="7"/>
      <c r="BX18" s="7"/>
      <c r="BY18" s="7"/>
      <c r="BZ18" s="7"/>
      <c r="CA18" s="12"/>
      <c r="CB18" s="12"/>
      <c r="CC18" s="12"/>
      <c r="CD18" s="12"/>
      <c r="CE18" s="12"/>
      <c r="CF18" s="12"/>
      <c r="CG18" s="12"/>
    </row>
    <row r="19" spans="1:85" x14ac:dyDescent="0.25">
      <c r="A19" s="18" t="s">
        <v>42</v>
      </c>
      <c r="B19" s="9">
        <v>17.600000000000001</v>
      </c>
      <c r="C19" s="10">
        <v>17.175000000000001</v>
      </c>
      <c r="D19" s="9">
        <v>8.0274999999999999</v>
      </c>
      <c r="E19" s="11">
        <v>19.7925</v>
      </c>
      <c r="F19" s="12">
        <v>727.25</v>
      </c>
      <c r="G19" s="11">
        <v>8.6999999999999993</v>
      </c>
      <c r="H19" s="9">
        <v>474</v>
      </c>
      <c r="I19" s="11">
        <v>117.25</v>
      </c>
      <c r="J19" s="9">
        <v>310.5</v>
      </c>
      <c r="K19" s="11">
        <v>29.272500000000001</v>
      </c>
      <c r="L19" s="9">
        <v>179.45</v>
      </c>
      <c r="M19" s="11">
        <v>4.6005000000000003</v>
      </c>
      <c r="N19" s="11">
        <v>0.53</v>
      </c>
      <c r="O19" s="13">
        <v>0.38150000000000001</v>
      </c>
      <c r="P19" s="12">
        <v>2.4E-2</v>
      </c>
      <c r="Q19" s="12">
        <v>1.1185</v>
      </c>
      <c r="R19" s="12">
        <v>0.46675</v>
      </c>
      <c r="S19" s="12">
        <v>0.11125</v>
      </c>
      <c r="T19" s="12">
        <v>1.8499999999999999E-2</v>
      </c>
      <c r="U19" s="12">
        <v>2.1749999999999999E-3</v>
      </c>
      <c r="V19" s="12">
        <v>0.3105</v>
      </c>
      <c r="W19" s="12">
        <v>2.4E-2</v>
      </c>
      <c r="X19" s="6">
        <v>278241.10019126505</v>
      </c>
      <c r="Y19" s="6">
        <v>97686.555290280608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12"/>
      <c r="BK19" s="12"/>
      <c r="BL19" s="12"/>
      <c r="BM19" s="12"/>
      <c r="BN19" s="12"/>
      <c r="BO19" s="12"/>
      <c r="BP19" s="12"/>
      <c r="BQ19" s="7"/>
      <c r="BR19" s="12"/>
      <c r="BS19" s="12"/>
      <c r="BT19" s="12"/>
      <c r="BU19" s="12"/>
      <c r="BV19" s="7"/>
      <c r="BW19" s="7"/>
      <c r="BX19" s="7"/>
      <c r="BY19" s="7"/>
      <c r="BZ19" s="7"/>
      <c r="CA19" s="12"/>
      <c r="CB19" s="12"/>
      <c r="CC19" s="12"/>
      <c r="CD19" s="12"/>
      <c r="CE19" s="12"/>
      <c r="CF19" s="12"/>
      <c r="CG19" s="12"/>
    </row>
    <row r="20" spans="1:85" x14ac:dyDescent="0.25">
      <c r="A20" s="18" t="s">
        <v>43</v>
      </c>
      <c r="B20" s="4">
        <v>17.100000000000001</v>
      </c>
      <c r="C20" s="5">
        <v>16.074999999999999</v>
      </c>
      <c r="D20" s="4">
        <v>7.4574999999999996</v>
      </c>
      <c r="E20" s="6">
        <v>13.53</v>
      </c>
      <c r="F20" s="7">
        <v>728.5</v>
      </c>
      <c r="G20" s="6">
        <v>8.9250000000000007</v>
      </c>
      <c r="H20" s="4">
        <v>323</v>
      </c>
      <c r="I20" s="6">
        <v>123.75</v>
      </c>
      <c r="J20" s="4">
        <v>312</v>
      </c>
      <c r="K20" s="6">
        <v>21.75</v>
      </c>
      <c r="L20" s="4">
        <v>152</v>
      </c>
      <c r="M20" s="6">
        <v>3.6197499999999998</v>
      </c>
      <c r="N20" s="6">
        <v>0.24975</v>
      </c>
      <c r="O20" s="8">
        <v>0.22399999999999998</v>
      </c>
      <c r="P20" s="7">
        <v>2.2249999999999999E-2</v>
      </c>
      <c r="Q20" s="7">
        <v>0.83499999999999996</v>
      </c>
      <c r="R20" s="7">
        <v>1.3712500000000001</v>
      </c>
      <c r="S20" s="7">
        <v>0.13274999999999998</v>
      </c>
      <c r="T20" s="7">
        <v>2.4E-2</v>
      </c>
      <c r="U20" s="7">
        <v>3.8500000000000001E-3</v>
      </c>
      <c r="V20" s="7">
        <v>0.2535</v>
      </c>
      <c r="W20" s="7">
        <v>3.075E-2</v>
      </c>
      <c r="X20" s="6">
        <v>117107.75469849609</v>
      </c>
      <c r="Y20" s="6">
        <v>62336.350374227564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12"/>
      <c r="BK20" s="17"/>
      <c r="BL20" s="12"/>
      <c r="BM20" s="12"/>
      <c r="BN20" s="12"/>
      <c r="BO20" s="12"/>
      <c r="BP20" s="12"/>
      <c r="BQ20" s="7"/>
      <c r="BR20" s="12"/>
      <c r="BS20" s="12"/>
      <c r="BT20" s="12"/>
      <c r="BU20" s="12"/>
      <c r="BV20" s="7"/>
      <c r="BW20" s="7"/>
      <c r="BX20" s="7"/>
      <c r="BY20" s="7"/>
      <c r="BZ20" s="7"/>
      <c r="CA20" s="12"/>
      <c r="CB20" s="12"/>
      <c r="CC20" s="12"/>
      <c r="CD20" s="12"/>
      <c r="CE20" s="12"/>
      <c r="CF20" s="12"/>
      <c r="CG20" s="12"/>
    </row>
    <row r="21" spans="1:85" x14ac:dyDescent="0.25">
      <c r="A21" s="18" t="s">
        <v>44</v>
      </c>
      <c r="B21" s="4">
        <v>16.2</v>
      </c>
      <c r="C21" s="5">
        <v>16.05</v>
      </c>
      <c r="D21" s="4">
        <v>7.9749999999999996</v>
      </c>
      <c r="E21" s="6">
        <v>9.4550000000000001</v>
      </c>
      <c r="F21" s="7">
        <v>687.5</v>
      </c>
      <c r="G21" s="6">
        <v>8.9</v>
      </c>
      <c r="H21" s="4">
        <v>404.75</v>
      </c>
      <c r="I21" s="6">
        <v>106.0325</v>
      </c>
      <c r="J21" s="4">
        <v>281.60000000000002</v>
      </c>
      <c r="K21" s="6">
        <v>18.537500000000001</v>
      </c>
      <c r="L21" s="4">
        <v>151.25</v>
      </c>
      <c r="M21" s="6">
        <v>3.3780000000000001</v>
      </c>
      <c r="N21" s="6">
        <v>0.29275000000000001</v>
      </c>
      <c r="O21" s="8">
        <v>0.24975000000000003</v>
      </c>
      <c r="P21" s="7">
        <v>1.225E-2</v>
      </c>
      <c r="Q21" s="7">
        <v>0.32474999999999998</v>
      </c>
      <c r="R21" s="7">
        <v>0.58450000000000002</v>
      </c>
      <c r="S21" s="7">
        <v>7.1000000000000008E-2</v>
      </c>
      <c r="T21" s="7">
        <v>1.6500000000000001E-2</v>
      </c>
      <c r="U21" s="7">
        <v>1.0999999999999998E-3</v>
      </c>
      <c r="V21" s="7">
        <v>0.18825</v>
      </c>
      <c r="W21" s="7">
        <v>2.4E-2</v>
      </c>
      <c r="X21" s="6">
        <v>125172.88463118744</v>
      </c>
      <c r="Y21" s="6">
        <v>56422.651087824037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12"/>
      <c r="BK21" s="12"/>
      <c r="BL21" s="12"/>
      <c r="BM21" s="12"/>
      <c r="BN21" s="12"/>
      <c r="BO21" s="12"/>
      <c r="BP21" s="12"/>
      <c r="BQ21" s="7"/>
      <c r="BR21" s="12"/>
      <c r="BS21" s="12"/>
      <c r="BT21" s="12"/>
      <c r="BU21" s="12"/>
      <c r="BV21" s="7"/>
      <c r="BW21" s="7"/>
      <c r="BX21" s="7"/>
      <c r="BY21" s="7"/>
      <c r="BZ21" s="7"/>
      <c r="CA21" s="12"/>
      <c r="CB21" s="12"/>
      <c r="CC21" s="12"/>
      <c r="CD21" s="12"/>
      <c r="CE21" s="12"/>
      <c r="CF21" s="12"/>
      <c r="CG21" s="12"/>
    </row>
    <row r="22" spans="1:85" x14ac:dyDescent="0.25">
      <c r="A22" s="18" t="s">
        <v>45</v>
      </c>
      <c r="B22" s="4">
        <v>24.4</v>
      </c>
      <c r="C22" s="5">
        <v>17.829999999999998</v>
      </c>
      <c r="D22" s="4">
        <v>7.89</v>
      </c>
      <c r="E22" s="6">
        <v>15.09</v>
      </c>
      <c r="F22" s="7">
        <v>598.25</v>
      </c>
      <c r="G22" s="6">
        <v>9.43</v>
      </c>
      <c r="H22" s="4">
        <v>391.25</v>
      </c>
      <c r="I22" s="6">
        <v>96.11</v>
      </c>
      <c r="J22" s="4">
        <v>259.38</v>
      </c>
      <c r="K22" s="6">
        <v>15.48</v>
      </c>
      <c r="L22" s="4">
        <v>132.25</v>
      </c>
      <c r="M22" s="6">
        <v>3.14</v>
      </c>
      <c r="N22" s="6">
        <v>0.20699999999999999</v>
      </c>
      <c r="O22" s="8">
        <v>0.17899999999999999</v>
      </c>
      <c r="P22" s="7">
        <v>1.0999999999999999E-2</v>
      </c>
      <c r="Q22" s="7">
        <v>0.499</v>
      </c>
      <c r="R22" s="7">
        <v>0.46700000000000003</v>
      </c>
      <c r="S22" s="7">
        <v>5.5E-2</v>
      </c>
      <c r="T22" s="7">
        <v>3.7999999999999999E-2</v>
      </c>
      <c r="U22" s="7">
        <v>2.3999999999999998E-3</v>
      </c>
      <c r="V22" s="7">
        <v>0.153</v>
      </c>
      <c r="W22" s="7">
        <v>2.3E-2</v>
      </c>
      <c r="X22" s="6">
        <v>149061.39331302335</v>
      </c>
      <c r="Y22" s="6">
        <v>69863.663565412338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12"/>
      <c r="BK22" s="12"/>
      <c r="BL22" s="12"/>
      <c r="BM22" s="12"/>
      <c r="BN22" s="12"/>
      <c r="BO22" s="12"/>
      <c r="BP22" s="12"/>
      <c r="BQ22" s="7"/>
      <c r="BR22" s="12"/>
      <c r="BS22" s="12"/>
      <c r="BT22" s="12"/>
      <c r="BU22" s="12"/>
      <c r="BV22" s="7"/>
      <c r="BW22" s="7"/>
      <c r="BX22" s="7"/>
      <c r="BY22" s="7"/>
      <c r="BZ22" s="7"/>
      <c r="CA22" s="12"/>
      <c r="CB22" s="12"/>
      <c r="CC22" s="12"/>
      <c r="CD22" s="12"/>
      <c r="CE22" s="12"/>
      <c r="CF22" s="12"/>
      <c r="CG22" s="12"/>
    </row>
    <row r="23" spans="1:85" x14ac:dyDescent="0.25">
      <c r="A23" s="18" t="s">
        <v>46</v>
      </c>
      <c r="B23" s="4">
        <v>24.1</v>
      </c>
      <c r="C23" s="5">
        <v>21.324999999999999</v>
      </c>
      <c r="D23" s="4">
        <v>7.98</v>
      </c>
      <c r="E23" s="6">
        <v>12.4475</v>
      </c>
      <c r="F23" s="7">
        <v>611</v>
      </c>
      <c r="G23" s="6">
        <v>8.5500000000000007</v>
      </c>
      <c r="H23" s="4">
        <v>400</v>
      </c>
      <c r="I23" s="6">
        <v>106.39749999999999</v>
      </c>
      <c r="J23" s="4">
        <v>272.8</v>
      </c>
      <c r="K23" s="6">
        <v>16.54</v>
      </c>
      <c r="L23" s="4">
        <v>172.25</v>
      </c>
      <c r="M23" s="6">
        <v>3.2947500000000001</v>
      </c>
      <c r="N23" s="6">
        <v>0.32025000000000003</v>
      </c>
      <c r="O23" s="8">
        <v>0.42699999999999999</v>
      </c>
      <c r="P23" s="7">
        <v>1.4749999999999999E-2</v>
      </c>
      <c r="Q23" s="7">
        <v>0.42225000000000001</v>
      </c>
      <c r="R23" s="7">
        <v>0.61775000000000002</v>
      </c>
      <c r="S23" s="7">
        <v>4.9500000000000002E-2</v>
      </c>
      <c r="T23" s="7">
        <v>1.4750000000000003E-2</v>
      </c>
      <c r="U23" s="7">
        <v>8.7499999999999991E-4</v>
      </c>
      <c r="V23" s="7">
        <v>0.10625</v>
      </c>
      <c r="W23" s="7">
        <v>2.2749999999999999E-2</v>
      </c>
      <c r="X23" s="6">
        <v>380612.31294416904</v>
      </c>
      <c r="Y23" s="6">
        <v>76933.491597650325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12"/>
      <c r="BK23" s="12"/>
      <c r="BL23" s="12"/>
      <c r="BM23" s="12"/>
      <c r="BN23" s="12"/>
      <c r="BO23" s="12"/>
      <c r="BP23" s="12"/>
      <c r="BQ23" s="7"/>
      <c r="BR23" s="12"/>
      <c r="BS23" s="12"/>
      <c r="BT23" s="12"/>
      <c r="BU23" s="12"/>
      <c r="BV23" s="7"/>
      <c r="BW23" s="7"/>
      <c r="BX23" s="7"/>
      <c r="BY23" s="7"/>
      <c r="BZ23" s="7"/>
      <c r="CA23" s="12"/>
      <c r="CB23" s="12"/>
      <c r="CC23" s="12"/>
      <c r="CD23" s="12"/>
      <c r="CE23" s="12"/>
      <c r="CF23" s="12"/>
      <c r="CG23" s="12"/>
    </row>
    <row r="24" spans="1:85" x14ac:dyDescent="0.25">
      <c r="A24" s="18" t="s">
        <v>47</v>
      </c>
      <c r="B24" s="4">
        <v>23.1</v>
      </c>
      <c r="C24" s="5">
        <v>21.274999999999999</v>
      </c>
      <c r="D24" s="4">
        <v>7.76</v>
      </c>
      <c r="E24" s="6">
        <v>149.965</v>
      </c>
      <c r="F24" s="7">
        <v>683.25</v>
      </c>
      <c r="G24" s="6">
        <v>8.8000000000000007</v>
      </c>
      <c r="H24" s="4">
        <v>489</v>
      </c>
      <c r="I24" s="6">
        <v>111.25</v>
      </c>
      <c r="J24" s="4">
        <v>270.75</v>
      </c>
      <c r="K24" s="6">
        <v>16.202500000000001</v>
      </c>
      <c r="L24" s="4">
        <v>188</v>
      </c>
      <c r="M24" s="6">
        <v>4.7134999999999998</v>
      </c>
      <c r="N24" s="6">
        <v>0.23275000000000001</v>
      </c>
      <c r="O24" s="8">
        <v>0.34749999999999998</v>
      </c>
      <c r="P24" s="7">
        <v>6.7499999999999999E-3</v>
      </c>
      <c r="Q24" s="7">
        <v>0.02</v>
      </c>
      <c r="R24" s="7">
        <v>0.28199999999999997</v>
      </c>
      <c r="S24" s="7">
        <v>4.1499999999999995E-2</v>
      </c>
      <c r="T24" s="7">
        <v>7.7499999999999999E-3</v>
      </c>
      <c r="U24" s="7">
        <v>1.6999999999999999E-3</v>
      </c>
      <c r="V24" s="7">
        <v>7.6999999999999999E-2</v>
      </c>
      <c r="W24" s="7">
        <v>0.02</v>
      </c>
      <c r="X24" s="6">
        <v>227293.7790492372</v>
      </c>
      <c r="Y24" s="6">
        <v>100529.76496921363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</row>
    <row r="25" spans="1:85" x14ac:dyDescent="0.25">
      <c r="A25" s="18" t="s">
        <v>48</v>
      </c>
      <c r="B25" s="4">
        <v>31</v>
      </c>
      <c r="C25" s="5">
        <v>20</v>
      </c>
      <c r="D25" s="4">
        <v>7.95</v>
      </c>
      <c r="E25" s="6">
        <v>46.244999999999997</v>
      </c>
      <c r="F25" s="7">
        <v>500.25</v>
      </c>
      <c r="G25" s="6">
        <v>8.85</v>
      </c>
      <c r="H25" s="4">
        <v>379.5</v>
      </c>
      <c r="I25" s="6">
        <v>79.25</v>
      </c>
      <c r="J25" s="4">
        <v>200.5</v>
      </c>
      <c r="K25" s="6">
        <v>11.225</v>
      </c>
      <c r="L25" s="4">
        <v>189</v>
      </c>
      <c r="M25" s="6">
        <v>3.3675000000000002</v>
      </c>
      <c r="N25" s="6">
        <v>0.18574999999999997</v>
      </c>
      <c r="O25" s="8">
        <v>0.13250000000000001</v>
      </c>
      <c r="P25" s="7">
        <v>3.075E-2</v>
      </c>
      <c r="Q25" s="7">
        <v>0.42574999999999996</v>
      </c>
      <c r="R25" s="7">
        <v>1.31925</v>
      </c>
      <c r="S25" s="7">
        <v>0.10375</v>
      </c>
      <c r="T25" s="7">
        <v>1.95E-2</v>
      </c>
      <c r="U25" s="7">
        <v>1.9750000000000002E-3</v>
      </c>
      <c r="V25" s="7">
        <v>0.23125000000000001</v>
      </c>
      <c r="W25" s="7">
        <v>2.0500000000000001E-2</v>
      </c>
      <c r="X25" s="6">
        <v>441081.14028256049</v>
      </c>
      <c r="Y25" s="6">
        <v>197151.42948807369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</row>
    <row r="26" spans="1:85" x14ac:dyDescent="0.25">
      <c r="A26" s="18" t="s">
        <v>49</v>
      </c>
      <c r="B26" s="4">
        <v>40.200000000000003</v>
      </c>
      <c r="C26" s="5">
        <v>20.7</v>
      </c>
      <c r="D26" s="4">
        <v>7.5049999999999999</v>
      </c>
      <c r="E26" s="6">
        <v>69.75</v>
      </c>
      <c r="F26" s="7">
        <v>474.25</v>
      </c>
      <c r="G26" s="6">
        <v>8.6</v>
      </c>
      <c r="H26" s="4">
        <v>307.75</v>
      </c>
      <c r="I26" s="6">
        <v>86.25</v>
      </c>
      <c r="J26" s="4">
        <v>196.5</v>
      </c>
      <c r="K26" s="6">
        <v>14.157500000000001</v>
      </c>
      <c r="L26" s="4">
        <v>113.75</v>
      </c>
      <c r="M26" s="6">
        <v>3.0922499999999999</v>
      </c>
      <c r="N26" s="6">
        <v>0.13</v>
      </c>
      <c r="O26" s="8">
        <v>0.15425</v>
      </c>
      <c r="P26" s="7">
        <v>5.3499999999999999E-2</v>
      </c>
      <c r="Q26" s="7">
        <v>3.0067500000000003</v>
      </c>
      <c r="R26" s="7">
        <v>3.5397500000000002</v>
      </c>
      <c r="S26" s="7">
        <v>0.16525000000000001</v>
      </c>
      <c r="T26" s="7">
        <v>3.8500000000000006E-2</v>
      </c>
      <c r="U26" s="7">
        <v>3.5500000000000002E-3</v>
      </c>
      <c r="V26" s="7">
        <v>0.5535000000000001</v>
      </c>
      <c r="W26" s="7">
        <v>3.0249999999999999E-2</v>
      </c>
      <c r="X26" s="6">
        <v>314370.73897514853</v>
      </c>
      <c r="Y26" s="6">
        <v>141499.03314642329</v>
      </c>
    </row>
    <row r="27" spans="1:85" x14ac:dyDescent="0.25">
      <c r="A27" s="18" t="s">
        <v>50</v>
      </c>
      <c r="B27" s="4">
        <v>53.5</v>
      </c>
      <c r="C27" s="5">
        <v>19.625</v>
      </c>
      <c r="D27" s="4">
        <v>7.53</v>
      </c>
      <c r="E27" s="6">
        <v>153.13</v>
      </c>
      <c r="F27" s="7">
        <v>397.75</v>
      </c>
      <c r="G27" s="6">
        <v>9.0850000000000009</v>
      </c>
      <c r="H27" s="4">
        <v>275.5</v>
      </c>
      <c r="I27" s="6">
        <v>79.75</v>
      </c>
      <c r="J27" s="4">
        <v>169</v>
      </c>
      <c r="K27" s="6">
        <v>12.49</v>
      </c>
      <c r="L27" s="4">
        <v>104</v>
      </c>
      <c r="M27" s="6">
        <v>2.8547500000000001</v>
      </c>
      <c r="N27" s="6">
        <v>9.1249999999999998E-2</v>
      </c>
      <c r="O27" s="8">
        <v>5.8499999999999996E-2</v>
      </c>
      <c r="P27" s="7">
        <v>5.0250000000000003E-2</v>
      </c>
      <c r="Q27" s="7">
        <v>3.8002499999999997</v>
      </c>
      <c r="R27" s="7">
        <v>4.7167500000000002</v>
      </c>
      <c r="S27" s="7">
        <v>0.24299999999999999</v>
      </c>
      <c r="T27" s="7">
        <v>4.2250000000000003E-2</v>
      </c>
      <c r="U27" s="7">
        <v>1.2174999999999998E-2</v>
      </c>
      <c r="V27" s="7">
        <v>0.4395</v>
      </c>
      <c r="W27" s="7">
        <v>0.18774999999999997</v>
      </c>
      <c r="X27" s="6">
        <v>576569.92864514922</v>
      </c>
      <c r="Y27" s="6">
        <v>243539.20353576951</v>
      </c>
    </row>
    <row r="28" spans="1:85" x14ac:dyDescent="0.25">
      <c r="A28" s="18" t="s">
        <v>51</v>
      </c>
      <c r="B28" s="4">
        <v>55.6</v>
      </c>
      <c r="C28" s="5">
        <v>20.9</v>
      </c>
      <c r="D28" s="4">
        <v>7.44</v>
      </c>
      <c r="E28" s="6">
        <v>106.18</v>
      </c>
      <c r="F28" s="7">
        <v>422.5</v>
      </c>
      <c r="G28" s="6">
        <v>8.7750000000000004</v>
      </c>
      <c r="H28" s="4">
        <v>351.25</v>
      </c>
      <c r="I28" s="6">
        <v>82.15</v>
      </c>
      <c r="J28" s="4">
        <v>175.3</v>
      </c>
      <c r="K28" s="6">
        <v>13.074999999999999</v>
      </c>
      <c r="L28" s="4">
        <v>103.25</v>
      </c>
      <c r="M28" s="6">
        <v>2.1444999999999999</v>
      </c>
      <c r="N28" s="6">
        <v>0.11950000000000001</v>
      </c>
      <c r="O28" s="8">
        <v>6.0999999999999999E-2</v>
      </c>
      <c r="P28" s="7">
        <v>6.4750000000000002E-2</v>
      </c>
      <c r="Q28" s="7">
        <v>3.9805000000000001</v>
      </c>
      <c r="R28" s="7">
        <v>7.2997499999999995</v>
      </c>
      <c r="S28" s="7">
        <v>0.26324999999999998</v>
      </c>
      <c r="T28" s="7">
        <v>6.8000000000000005E-2</v>
      </c>
      <c r="U28" s="7">
        <v>3.4000000000000002E-3</v>
      </c>
      <c r="V28" s="7">
        <v>0.61650000000000005</v>
      </c>
      <c r="W28" s="7">
        <v>0.11299999999999999</v>
      </c>
      <c r="X28" s="6">
        <v>336620.29406934942</v>
      </c>
      <c r="Y28" s="6">
        <v>168650.45579812274</v>
      </c>
    </row>
    <row r="29" spans="1:85" x14ac:dyDescent="0.25">
      <c r="A29" s="18" t="s">
        <v>52</v>
      </c>
      <c r="B29" s="4">
        <v>58.6</v>
      </c>
      <c r="C29" s="5">
        <v>19.475000000000001</v>
      </c>
      <c r="D29" s="4">
        <v>7.8</v>
      </c>
      <c r="E29" s="6">
        <v>140.9</v>
      </c>
      <c r="F29" s="7">
        <v>423.5</v>
      </c>
      <c r="G29" s="6">
        <v>8.6750000000000007</v>
      </c>
      <c r="H29" s="4">
        <v>270</v>
      </c>
      <c r="I29" s="6">
        <v>92</v>
      </c>
      <c r="J29" s="4">
        <v>178.5</v>
      </c>
      <c r="K29" s="6">
        <v>12.422499999999999</v>
      </c>
      <c r="L29" s="4">
        <v>115.5</v>
      </c>
      <c r="M29" s="6">
        <v>1.794</v>
      </c>
      <c r="N29" s="6">
        <v>8.5000000000000006E-2</v>
      </c>
      <c r="O29" s="8">
        <v>8.2000000000000003E-2</v>
      </c>
      <c r="P29" s="7">
        <v>4.2249999999999996E-2</v>
      </c>
      <c r="Q29" s="7">
        <v>5.8114999999999997</v>
      </c>
      <c r="R29" s="7">
        <v>8.0024999999999995</v>
      </c>
      <c r="S29" s="7">
        <v>0.22075</v>
      </c>
      <c r="T29" s="7">
        <v>2.6500000000000003E-2</v>
      </c>
      <c r="U29" s="7">
        <v>2.1749999999999999E-3</v>
      </c>
      <c r="V29" s="7">
        <v>0.36175000000000002</v>
      </c>
      <c r="W29" s="7">
        <v>3.9499999999999993E-2</v>
      </c>
      <c r="X29" s="6">
        <v>118970.90792272353</v>
      </c>
      <c r="Y29" s="6">
        <v>62722.681871812863</v>
      </c>
    </row>
    <row r="30" spans="1:85" x14ac:dyDescent="0.25">
      <c r="A30" s="18" t="s">
        <v>53</v>
      </c>
      <c r="B30" s="4">
        <v>32.6</v>
      </c>
      <c r="C30" s="5">
        <v>18.074999999999999</v>
      </c>
      <c r="D30" s="4">
        <v>7.9175000000000004</v>
      </c>
      <c r="E30" s="6">
        <v>11.125</v>
      </c>
      <c r="F30" s="7">
        <v>639.5</v>
      </c>
      <c r="G30" s="6">
        <v>8.9499999999999993</v>
      </c>
      <c r="H30" s="4">
        <v>454</v>
      </c>
      <c r="I30" s="6">
        <v>120.5</v>
      </c>
      <c r="J30" s="4">
        <v>273.75</v>
      </c>
      <c r="K30" s="6">
        <v>22.45</v>
      </c>
      <c r="L30" s="4">
        <v>181.25</v>
      </c>
      <c r="M30" s="6">
        <v>2.8839999999999999</v>
      </c>
      <c r="N30" s="6">
        <v>0.42550000000000004</v>
      </c>
      <c r="O30" s="8">
        <v>0.15575</v>
      </c>
      <c r="P30" s="7">
        <v>2.8499999999999998E-2</v>
      </c>
      <c r="Q30" s="7">
        <v>0.33074999999999999</v>
      </c>
      <c r="R30" s="7">
        <v>0.38550000000000001</v>
      </c>
      <c r="S30" s="7">
        <v>0.108</v>
      </c>
      <c r="T30" s="7">
        <v>2.0249999999999997E-2</v>
      </c>
      <c r="U30" s="7">
        <v>3.3249999999999998E-3</v>
      </c>
      <c r="V30" s="7">
        <v>0.32399999999999995</v>
      </c>
      <c r="W30" s="7">
        <v>2.4E-2</v>
      </c>
      <c r="X30" s="6">
        <v>140449.35133084035</v>
      </c>
      <c r="Y30" s="6">
        <v>75909.188945829956</v>
      </c>
    </row>
    <row r="31" spans="1:85" x14ac:dyDescent="0.25">
      <c r="A31" s="18" t="s">
        <v>54</v>
      </c>
      <c r="B31" s="4">
        <v>27.4</v>
      </c>
      <c r="C31" s="5">
        <v>18.3</v>
      </c>
      <c r="D31" s="4">
        <v>7.74</v>
      </c>
      <c r="E31" s="6">
        <v>13.085000000000001</v>
      </c>
      <c r="F31" s="7">
        <v>714.75</v>
      </c>
      <c r="G31" s="6">
        <v>9.0749999999999993</v>
      </c>
      <c r="H31" s="4">
        <v>473</v>
      </c>
      <c r="I31" s="6">
        <v>122.75</v>
      </c>
      <c r="J31" s="4">
        <v>291.5</v>
      </c>
      <c r="K31" s="6">
        <v>26.524999999999999</v>
      </c>
      <c r="L31" s="4">
        <v>154.25</v>
      </c>
      <c r="M31" s="6">
        <v>3.7355</v>
      </c>
      <c r="N31" s="6">
        <v>0.46824999999999994</v>
      </c>
      <c r="O31" s="8">
        <v>0.33700000000000002</v>
      </c>
      <c r="P31" s="7">
        <v>2.6249999999999999E-2</v>
      </c>
      <c r="Q31" s="7">
        <v>0.55025000000000002</v>
      </c>
      <c r="R31" s="7">
        <v>0.53749999999999998</v>
      </c>
      <c r="S31" s="7">
        <v>0.121</v>
      </c>
      <c r="T31" s="7">
        <v>1.8000000000000002E-2</v>
      </c>
      <c r="U31" s="7">
        <v>2.0499999999999997E-3</v>
      </c>
      <c r="V31" s="7">
        <v>0.307</v>
      </c>
      <c r="W31" s="7">
        <v>2.0749999999999998E-2</v>
      </c>
      <c r="X31" s="6">
        <v>130821.767912111</v>
      </c>
      <c r="Y31" s="6">
        <v>68857.792751273781</v>
      </c>
    </row>
    <row r="32" spans="1:85" x14ac:dyDescent="0.25">
      <c r="A32" s="18" t="s">
        <v>55</v>
      </c>
      <c r="B32" s="4">
        <v>34.799999999999997</v>
      </c>
      <c r="C32" s="5">
        <v>16.425000000000001</v>
      </c>
      <c r="D32" s="4">
        <v>7.71</v>
      </c>
      <c r="E32" s="6">
        <v>11.15</v>
      </c>
      <c r="F32" s="7">
        <v>644.75</v>
      </c>
      <c r="G32" s="6">
        <v>9.125</v>
      </c>
      <c r="H32" s="4">
        <v>422.75</v>
      </c>
      <c r="I32" s="6">
        <v>108.47499999999999</v>
      </c>
      <c r="J32" s="4">
        <v>290</v>
      </c>
      <c r="K32" s="6">
        <v>23</v>
      </c>
      <c r="L32" s="4">
        <v>154</v>
      </c>
      <c r="M32" s="6">
        <v>3.8824999999999998</v>
      </c>
      <c r="N32" s="6">
        <v>0.35950000000000004</v>
      </c>
      <c r="O32" s="8">
        <v>0.25800000000000001</v>
      </c>
      <c r="P32" s="7">
        <v>1.95E-2</v>
      </c>
      <c r="Q32" s="7">
        <v>0.61750000000000005</v>
      </c>
      <c r="R32" s="7">
        <v>0.35375000000000001</v>
      </c>
      <c r="S32" s="7">
        <v>5.4000000000000006E-2</v>
      </c>
      <c r="T32" s="7">
        <v>5.7499999999999999E-3</v>
      </c>
      <c r="U32" s="7">
        <v>1.8749999999999999E-3</v>
      </c>
      <c r="V32" s="7">
        <v>0.19875000000000001</v>
      </c>
      <c r="W32" s="7">
        <v>2.6000000000000002E-2</v>
      </c>
      <c r="X32" s="6">
        <v>167000</v>
      </c>
      <c r="Y32" s="6">
        <v>65400</v>
      </c>
    </row>
    <row r="33" spans="1:25" x14ac:dyDescent="0.25">
      <c r="A33" s="18" t="s">
        <v>56</v>
      </c>
      <c r="B33" s="4">
        <v>24.9</v>
      </c>
      <c r="C33" s="5">
        <v>15.824999999999999</v>
      </c>
      <c r="D33" s="4">
        <v>7.91</v>
      </c>
      <c r="E33" s="6">
        <v>28.03</v>
      </c>
      <c r="F33" s="7">
        <v>622.75</v>
      </c>
      <c r="G33" s="6">
        <v>8.6750000000000007</v>
      </c>
      <c r="H33" s="4">
        <v>421.25</v>
      </c>
      <c r="I33" s="6">
        <v>104</v>
      </c>
      <c r="J33" s="4">
        <v>247.25</v>
      </c>
      <c r="K33" s="6">
        <v>15.137499999999999</v>
      </c>
      <c r="L33" s="4">
        <v>158</v>
      </c>
      <c r="M33" s="6">
        <v>3.8090000000000002</v>
      </c>
      <c r="N33" s="6">
        <v>0.29600000000000004</v>
      </c>
      <c r="O33" s="8">
        <v>0.39174999999999999</v>
      </c>
      <c r="P33" s="7">
        <v>2.1749999999999999E-2</v>
      </c>
      <c r="Q33" s="7">
        <v>1.2157499999999999</v>
      </c>
      <c r="R33" s="7">
        <v>1.7437499999999999</v>
      </c>
      <c r="S33" s="7">
        <v>5.3749999999999999E-2</v>
      </c>
      <c r="T33" s="7">
        <v>1.4500000000000001E-2</v>
      </c>
      <c r="U33" s="7">
        <v>1.6000000000000001E-3</v>
      </c>
      <c r="V33" s="7">
        <v>0.27500000000000002</v>
      </c>
      <c r="W33" s="7">
        <v>2.7000000000000003E-2</v>
      </c>
      <c r="X33" s="6">
        <v>303500</v>
      </c>
      <c r="Y33" s="6">
        <v>115500</v>
      </c>
    </row>
    <row r="34" spans="1:25" x14ac:dyDescent="0.25">
      <c r="A34" s="18" t="s">
        <v>57</v>
      </c>
      <c r="B34" s="4">
        <v>23.8</v>
      </c>
      <c r="C34" s="5">
        <v>16.324999999999999</v>
      </c>
      <c r="D34" s="4">
        <v>7.76</v>
      </c>
      <c r="E34" s="6">
        <v>16</v>
      </c>
      <c r="F34" s="7">
        <v>632.5</v>
      </c>
      <c r="G34" s="6">
        <v>8.65</v>
      </c>
      <c r="H34" s="4">
        <v>438.5</v>
      </c>
      <c r="I34" s="6">
        <v>106</v>
      </c>
      <c r="J34" s="4">
        <v>258.5</v>
      </c>
      <c r="K34" s="6">
        <v>17.772500000000001</v>
      </c>
      <c r="L34" s="4">
        <v>165.5</v>
      </c>
      <c r="M34" s="6">
        <v>4.0019999999999998</v>
      </c>
      <c r="N34" s="6">
        <v>0.14699999999999999</v>
      </c>
      <c r="O34" s="8">
        <v>0.38874999999999998</v>
      </c>
      <c r="P34" s="7">
        <v>1.325E-2</v>
      </c>
      <c r="Q34" s="7">
        <v>0.51974999999999993</v>
      </c>
      <c r="R34" s="7">
        <v>0.60824999999999996</v>
      </c>
      <c r="S34" s="7">
        <v>4.3749999999999997E-2</v>
      </c>
      <c r="T34" s="7">
        <v>1.4749999999999999E-2</v>
      </c>
      <c r="U34" s="7">
        <v>2.075E-3</v>
      </c>
      <c r="V34" s="7">
        <v>0.13850000000000001</v>
      </c>
      <c r="W34" s="7">
        <v>2.8325000000000003E-2</v>
      </c>
      <c r="X34" s="6">
        <v>262000</v>
      </c>
      <c r="Y34" s="6">
        <v>76350</v>
      </c>
    </row>
    <row r="35" spans="1:25" x14ac:dyDescent="0.25">
      <c r="A35" s="18" t="s">
        <v>58</v>
      </c>
      <c r="B35" s="4">
        <v>23.8</v>
      </c>
      <c r="C35" s="5">
        <v>16.399999999999999</v>
      </c>
      <c r="D35" s="4">
        <v>7.96</v>
      </c>
      <c r="E35" s="6">
        <v>14.45</v>
      </c>
      <c r="F35" s="7">
        <v>591</v>
      </c>
      <c r="G35" s="6">
        <v>8.375</v>
      </c>
      <c r="H35" s="4">
        <v>424.5</v>
      </c>
      <c r="I35" s="6">
        <v>108.25</v>
      </c>
      <c r="J35" s="4">
        <v>244</v>
      </c>
      <c r="K35" s="6">
        <v>16.327500000000001</v>
      </c>
      <c r="L35" s="4">
        <v>150.5</v>
      </c>
      <c r="M35" s="6">
        <v>3.3565</v>
      </c>
      <c r="N35" s="6">
        <v>0.32200000000000001</v>
      </c>
      <c r="O35" s="8">
        <v>0.34775</v>
      </c>
      <c r="P35" s="7">
        <v>1.35E-2</v>
      </c>
      <c r="Q35" s="7">
        <v>0.35575000000000001</v>
      </c>
      <c r="R35" s="7">
        <v>0.34925</v>
      </c>
      <c r="S35" s="7">
        <v>3.7249999999999998E-2</v>
      </c>
      <c r="T35" s="7">
        <v>1.975E-2</v>
      </c>
      <c r="U35" s="7">
        <v>8.4999999999999995E-4</v>
      </c>
      <c r="V35" s="7">
        <v>0.12375</v>
      </c>
      <c r="W35" s="7">
        <v>2.35E-2</v>
      </c>
      <c r="X35" s="6">
        <v>227000</v>
      </c>
      <c r="Y35" s="6">
        <v>85550</v>
      </c>
    </row>
    <row r="36" spans="1:25" x14ac:dyDescent="0.25">
      <c r="A36" s="18" t="s">
        <v>59</v>
      </c>
      <c r="B36" s="4">
        <v>26</v>
      </c>
      <c r="C36" s="5">
        <v>17.95</v>
      </c>
      <c r="D36" s="4">
        <v>8.0075000000000003</v>
      </c>
      <c r="E36" s="6">
        <v>8.09</v>
      </c>
      <c r="F36" s="7">
        <v>632.25</v>
      </c>
      <c r="G36" s="6">
        <v>8.6750000000000007</v>
      </c>
      <c r="H36" s="4">
        <v>414.5</v>
      </c>
      <c r="I36" s="6">
        <v>109.75</v>
      </c>
      <c r="J36" s="4">
        <v>250.25</v>
      </c>
      <c r="K36" s="6">
        <v>16.5</v>
      </c>
      <c r="L36" s="4">
        <v>134.25</v>
      </c>
      <c r="M36" s="6">
        <v>3.3440000000000003</v>
      </c>
      <c r="N36" s="6">
        <v>0.40225</v>
      </c>
      <c r="O36" s="8">
        <v>0.50549999999999995</v>
      </c>
      <c r="P36" s="7">
        <v>1.2500000000000001E-2</v>
      </c>
      <c r="Q36" s="7">
        <v>0.28499999999999998</v>
      </c>
      <c r="R36" s="7">
        <v>0.32674999999999998</v>
      </c>
      <c r="S36" s="7">
        <v>2.8250000000000001E-2</v>
      </c>
      <c r="T36" s="7">
        <v>1.0999999999999999E-2</v>
      </c>
      <c r="U36" s="7">
        <v>1.075E-3</v>
      </c>
      <c r="V36" s="7">
        <v>0.11699999999999999</v>
      </c>
      <c r="W36" s="7">
        <v>2.3E-2</v>
      </c>
      <c r="X36" s="6">
        <v>195000</v>
      </c>
      <c r="Y36" s="6">
        <v>71600</v>
      </c>
    </row>
    <row r="37" spans="1:25" x14ac:dyDescent="0.25">
      <c r="A37" s="18" t="s">
        <v>60</v>
      </c>
      <c r="B37" s="4">
        <v>32</v>
      </c>
      <c r="C37" s="5">
        <v>18.899999999999999</v>
      </c>
      <c r="D37" s="4">
        <v>8.11</v>
      </c>
      <c r="E37" s="6">
        <v>10.15</v>
      </c>
      <c r="F37" s="7">
        <v>578.5</v>
      </c>
      <c r="G37" s="6">
        <v>8.7750000000000004</v>
      </c>
      <c r="H37" s="4">
        <v>415</v>
      </c>
      <c r="I37" s="6">
        <v>122.25</v>
      </c>
      <c r="J37" s="4">
        <v>257</v>
      </c>
      <c r="K37" s="6">
        <v>21.732500000000002</v>
      </c>
      <c r="L37" s="4">
        <v>163.75</v>
      </c>
      <c r="M37" s="6">
        <v>3.25725</v>
      </c>
      <c r="N37" s="6">
        <v>0.26700000000000002</v>
      </c>
      <c r="O37" s="8">
        <v>0.38224999999999998</v>
      </c>
      <c r="P37" s="7">
        <v>1.375E-2</v>
      </c>
      <c r="Q37" s="7">
        <v>0.31200000000000006</v>
      </c>
      <c r="R37" s="7">
        <v>0.24625</v>
      </c>
      <c r="S37" s="7">
        <v>5.0500000000000003E-2</v>
      </c>
      <c r="T37" s="7">
        <v>1.4999999999999999E-2</v>
      </c>
      <c r="U37" s="7">
        <v>6.0000000000000006E-4</v>
      </c>
      <c r="V37" s="7">
        <v>0.16824999999999998</v>
      </c>
      <c r="W37" s="7">
        <v>1.7750000000000002E-2</v>
      </c>
      <c r="X37" s="6">
        <v>230000</v>
      </c>
      <c r="Y37" s="6">
        <v>130000</v>
      </c>
    </row>
    <row r="38" spans="1:25" x14ac:dyDescent="0.25">
      <c r="A38" s="18" t="s">
        <v>61</v>
      </c>
      <c r="B38" s="4">
        <v>33.9</v>
      </c>
      <c r="C38" s="5">
        <v>19.3</v>
      </c>
      <c r="D38" s="4">
        <v>7.6550000000000002</v>
      </c>
      <c r="E38" s="6">
        <v>15.19</v>
      </c>
      <c r="F38" s="7">
        <v>505.25</v>
      </c>
      <c r="G38" s="6">
        <v>8.7750000000000004</v>
      </c>
      <c r="H38" s="4">
        <v>335.75</v>
      </c>
      <c r="I38" s="6">
        <v>93.75</v>
      </c>
      <c r="J38" s="4">
        <v>225.5</v>
      </c>
      <c r="K38" s="6">
        <v>17.07</v>
      </c>
      <c r="L38" s="4">
        <v>136.25</v>
      </c>
      <c r="M38" s="6">
        <v>3.8679999999999999</v>
      </c>
      <c r="N38" s="6">
        <v>0.29974999999999996</v>
      </c>
      <c r="O38" s="8">
        <v>0.32024999999999998</v>
      </c>
      <c r="P38" s="7">
        <v>2.8499999999999998E-2</v>
      </c>
      <c r="Q38" s="7">
        <v>0.43625000000000003</v>
      </c>
      <c r="R38" s="7">
        <v>0.40075000000000005</v>
      </c>
      <c r="S38" s="7">
        <v>4.6249999999999999E-2</v>
      </c>
      <c r="T38" s="7">
        <v>1.55E-2</v>
      </c>
      <c r="U38" s="7">
        <v>2.225E-3</v>
      </c>
      <c r="V38" s="7">
        <v>0.20949999999999999</v>
      </c>
      <c r="W38" s="7">
        <v>2.0749999999999998E-2</v>
      </c>
      <c r="X38" s="6">
        <v>114250</v>
      </c>
      <c r="Y38" s="6">
        <v>48400</v>
      </c>
    </row>
    <row r="39" spans="1:25" x14ac:dyDescent="0.25">
      <c r="A39" s="18" t="s">
        <v>62</v>
      </c>
      <c r="B39" s="14">
        <v>70.400000000000006</v>
      </c>
      <c r="C39" s="5">
        <v>21.4</v>
      </c>
      <c r="D39" s="4">
        <v>8.0399999999999991</v>
      </c>
      <c r="E39" s="6">
        <v>1172.8</v>
      </c>
      <c r="F39" s="7">
        <v>350.25</v>
      </c>
      <c r="G39" s="6">
        <v>9.125</v>
      </c>
      <c r="H39" s="4">
        <v>234.75</v>
      </c>
      <c r="I39" s="6">
        <v>75.3</v>
      </c>
      <c r="J39" s="4">
        <v>147.75</v>
      </c>
      <c r="K39" s="6">
        <v>9.0749999999999993</v>
      </c>
      <c r="L39" s="4">
        <v>83</v>
      </c>
      <c r="M39" s="6">
        <v>3.1262500000000002</v>
      </c>
      <c r="N39" s="6">
        <v>0.15275</v>
      </c>
      <c r="O39" s="8">
        <v>0.12325</v>
      </c>
      <c r="P39" s="7">
        <v>0.19850000000000001</v>
      </c>
      <c r="Q39" s="7">
        <v>37.918000000000006</v>
      </c>
      <c r="R39" s="7">
        <v>36.389499999999998</v>
      </c>
      <c r="S39" s="7">
        <v>1.46875</v>
      </c>
      <c r="T39" s="7">
        <v>0.37924999999999998</v>
      </c>
      <c r="U39" s="7">
        <v>1.0775E-2</v>
      </c>
      <c r="V39" s="7">
        <v>1.6797500000000001</v>
      </c>
      <c r="W39" s="7">
        <v>0.54374999999999996</v>
      </c>
      <c r="X39" s="6">
        <v>137000</v>
      </c>
      <c r="Y39" s="6">
        <v>50950</v>
      </c>
    </row>
    <row r="40" spans="1:25" x14ac:dyDescent="0.25">
      <c r="A40" s="18" t="s">
        <v>63</v>
      </c>
      <c r="B40" s="4">
        <v>68.7</v>
      </c>
      <c r="C40" s="5">
        <v>21.25</v>
      </c>
      <c r="D40" s="4">
        <v>7.99</v>
      </c>
      <c r="E40" s="6">
        <v>236</v>
      </c>
      <c r="F40" s="7">
        <v>344.25</v>
      </c>
      <c r="G40" s="6">
        <v>8.8949999999999996</v>
      </c>
      <c r="H40" s="4">
        <v>237.5</v>
      </c>
      <c r="I40" s="6">
        <v>81</v>
      </c>
      <c r="J40" s="4">
        <v>144</v>
      </c>
      <c r="K40" s="6">
        <v>9.9375</v>
      </c>
      <c r="L40" s="4">
        <v>116.5</v>
      </c>
      <c r="M40" s="6">
        <v>3.0402500000000003</v>
      </c>
      <c r="N40" s="6">
        <v>6.8500000000000005E-2</v>
      </c>
      <c r="O40" s="8">
        <v>0.125</v>
      </c>
      <c r="P40" s="7">
        <v>0.188</v>
      </c>
      <c r="Q40" s="7">
        <v>19.3215</v>
      </c>
      <c r="R40" s="7">
        <v>15.049250000000001</v>
      </c>
      <c r="S40" s="7">
        <v>0.91125</v>
      </c>
      <c r="T40" s="7">
        <v>0.20950000000000002</v>
      </c>
      <c r="U40" s="7">
        <v>3.5249999999999999E-3</v>
      </c>
      <c r="V40" s="7">
        <v>1.6844999999999999</v>
      </c>
      <c r="W40" s="7">
        <v>0.16750000000000001</v>
      </c>
      <c r="X40" s="6">
        <v>84450</v>
      </c>
      <c r="Y40" s="6">
        <v>40549.5</v>
      </c>
    </row>
    <row r="41" spans="1:25" x14ac:dyDescent="0.25">
      <c r="A41" s="18" t="s">
        <v>64</v>
      </c>
      <c r="B41" s="4">
        <v>67.5</v>
      </c>
      <c r="C41" s="5">
        <v>20.75</v>
      </c>
      <c r="D41" s="4">
        <v>7.97</v>
      </c>
      <c r="E41" s="6">
        <v>263.85000000000002</v>
      </c>
      <c r="F41" s="7">
        <v>342.75</v>
      </c>
      <c r="G41" s="6">
        <v>8.8249999999999993</v>
      </c>
      <c r="H41" s="4">
        <v>214.5</v>
      </c>
      <c r="I41" s="6">
        <v>83</v>
      </c>
      <c r="J41" s="4">
        <v>150</v>
      </c>
      <c r="K41" s="6">
        <v>7.6</v>
      </c>
      <c r="L41" s="4">
        <v>93</v>
      </c>
      <c r="M41" s="6">
        <v>2.0907499999999999</v>
      </c>
      <c r="N41" s="6">
        <v>6.1749999999999999E-2</v>
      </c>
      <c r="O41" s="8">
        <v>0.1575</v>
      </c>
      <c r="P41" s="7">
        <v>6.6250000000000003E-2</v>
      </c>
      <c r="Q41" s="7">
        <v>8.8375000000000004</v>
      </c>
      <c r="R41" s="7">
        <v>9.9137500000000003</v>
      </c>
      <c r="S41" s="7">
        <v>0.26175000000000004</v>
      </c>
      <c r="T41" s="7">
        <v>5.7500000000000002E-2</v>
      </c>
      <c r="U41" s="7">
        <v>3.2000000000000002E-3</v>
      </c>
      <c r="V41" s="7">
        <v>0.54200000000000004</v>
      </c>
      <c r="W41" s="7">
        <v>7.6249999999999998E-2</v>
      </c>
      <c r="X41" s="6">
        <v>102900</v>
      </c>
      <c r="Y41" s="6">
        <v>44500</v>
      </c>
    </row>
    <row r="42" spans="1:25" x14ac:dyDescent="0.25">
      <c r="A42" s="18" t="s">
        <v>65</v>
      </c>
      <c r="B42" s="4">
        <v>35.799999999999997</v>
      </c>
      <c r="C42" s="5">
        <v>19.774999999999999</v>
      </c>
      <c r="D42" s="4">
        <v>7.2149999999999999</v>
      </c>
      <c r="E42" s="6">
        <v>8.26</v>
      </c>
      <c r="F42" s="7">
        <v>569.5</v>
      </c>
      <c r="G42" s="6">
        <v>8.625</v>
      </c>
      <c r="H42" s="4">
        <v>381.5</v>
      </c>
      <c r="I42" s="6">
        <v>116</v>
      </c>
      <c r="J42" s="4">
        <v>253.5</v>
      </c>
      <c r="K42" s="6">
        <v>17.989999999999998</v>
      </c>
      <c r="L42" s="4">
        <v>116.5</v>
      </c>
      <c r="M42" s="6">
        <v>2.9922500000000003</v>
      </c>
      <c r="N42" s="6">
        <v>0.36074999999999996</v>
      </c>
      <c r="O42" s="8">
        <v>0.23224999999999998</v>
      </c>
      <c r="P42" s="7">
        <v>2.7999999999999997E-2</v>
      </c>
      <c r="Q42" s="7">
        <v>0.41949999999999998</v>
      </c>
      <c r="R42" s="7">
        <v>0.45699999999999996</v>
      </c>
      <c r="S42" s="7">
        <v>7.0000000000000007E-2</v>
      </c>
      <c r="T42" s="7">
        <v>8.9999999999999993E-3</v>
      </c>
      <c r="U42" s="7">
        <v>2.725E-3</v>
      </c>
      <c r="V42" s="7">
        <v>0.252</v>
      </c>
      <c r="W42" s="7">
        <v>2.0999999999999998E-2</v>
      </c>
      <c r="X42" s="6">
        <v>92650</v>
      </c>
      <c r="Y42" s="6">
        <v>42750</v>
      </c>
    </row>
    <row r="43" spans="1:25" x14ac:dyDescent="0.25">
      <c r="A43" s="18" t="s">
        <v>66</v>
      </c>
      <c r="B43" s="4">
        <v>26.6</v>
      </c>
      <c r="C43" s="5">
        <v>19.8</v>
      </c>
      <c r="D43" s="4">
        <v>8.1</v>
      </c>
      <c r="E43" s="6">
        <v>9.8524999999999991</v>
      </c>
      <c r="F43" s="7">
        <v>653.25</v>
      </c>
      <c r="G43" s="6">
        <v>8.5749999999999993</v>
      </c>
      <c r="H43" s="4">
        <v>437.75</v>
      </c>
      <c r="I43" s="6">
        <v>119.5</v>
      </c>
      <c r="J43" s="4">
        <v>278</v>
      </c>
      <c r="K43" s="6">
        <v>25.324999999999999</v>
      </c>
      <c r="L43" s="4">
        <v>165.25</v>
      </c>
      <c r="M43" s="6">
        <v>4.1539999999999999</v>
      </c>
      <c r="N43" s="6">
        <v>0.34825</v>
      </c>
      <c r="O43" s="8">
        <v>0.32124999999999998</v>
      </c>
      <c r="P43" s="7">
        <v>0.02</v>
      </c>
      <c r="Q43" s="7">
        <v>0.23300000000000001</v>
      </c>
      <c r="R43" s="7">
        <v>0.25075000000000003</v>
      </c>
      <c r="S43" s="7">
        <v>5.0750000000000003E-2</v>
      </c>
      <c r="T43" s="7">
        <v>3.075E-2</v>
      </c>
      <c r="U43" s="7">
        <v>2.1750000000000003E-3</v>
      </c>
      <c r="V43" s="7">
        <v>0.25</v>
      </c>
      <c r="W43" s="7">
        <v>0.02</v>
      </c>
      <c r="X43" s="6">
        <v>135500</v>
      </c>
      <c r="Y43" s="6">
        <v>45750</v>
      </c>
    </row>
    <row r="44" spans="1:25" x14ac:dyDescent="0.25">
      <c r="A44" s="18" t="s">
        <v>67</v>
      </c>
      <c r="B44" s="4">
        <v>26.6</v>
      </c>
      <c r="C44" s="5">
        <v>18.425000000000001</v>
      </c>
      <c r="D44" s="4">
        <v>7.8724999999999996</v>
      </c>
      <c r="E44" s="6">
        <v>7.66</v>
      </c>
      <c r="F44" s="7">
        <v>629.25</v>
      </c>
      <c r="G44" s="6">
        <v>8.7225000000000001</v>
      </c>
      <c r="H44" s="4">
        <v>473.5</v>
      </c>
      <c r="I44" s="6">
        <v>111</v>
      </c>
      <c r="J44" s="4">
        <v>281</v>
      </c>
      <c r="K44" s="6">
        <v>21.655000000000001</v>
      </c>
      <c r="L44" s="4">
        <v>176.5</v>
      </c>
      <c r="M44" s="6">
        <v>3.9822499999999996</v>
      </c>
      <c r="N44" s="6">
        <v>0.32</v>
      </c>
      <c r="O44" s="8">
        <v>0.39650000000000002</v>
      </c>
      <c r="P44" s="7">
        <v>1.225E-2</v>
      </c>
      <c r="Q44" s="7">
        <v>0.28574999999999995</v>
      </c>
      <c r="R44" s="7">
        <v>0.36375000000000002</v>
      </c>
      <c r="S44" s="7">
        <v>6.4000000000000001E-2</v>
      </c>
      <c r="T44" s="7">
        <v>8.5000000000000006E-3</v>
      </c>
      <c r="U44" s="7">
        <v>1.4499999999999999E-3</v>
      </c>
      <c r="V44" s="7">
        <v>0.29699999999999999</v>
      </c>
      <c r="W44" s="7">
        <v>2.4500000000000001E-2</v>
      </c>
      <c r="X44" s="6">
        <v>91800</v>
      </c>
      <c r="Y44" s="6">
        <v>33550</v>
      </c>
    </row>
    <row r="45" spans="1:25" x14ac:dyDescent="0.25">
      <c r="A45" s="18" t="s">
        <v>68</v>
      </c>
      <c r="B45" s="4">
        <v>24.9</v>
      </c>
      <c r="C45" s="5">
        <v>16.2</v>
      </c>
      <c r="D45" s="4">
        <v>8.08</v>
      </c>
      <c r="E45" s="6">
        <v>6.16</v>
      </c>
      <c r="F45" s="7">
        <v>616.5</v>
      </c>
      <c r="G45" s="6">
        <v>8.8450000000000006</v>
      </c>
      <c r="H45" s="4">
        <v>435.5</v>
      </c>
      <c r="I45" s="6">
        <v>110.75</v>
      </c>
      <c r="J45" s="4">
        <v>272</v>
      </c>
      <c r="K45" s="6">
        <v>15.612500000000001</v>
      </c>
      <c r="L45" s="4">
        <v>180.5</v>
      </c>
      <c r="M45" s="6">
        <v>4.0229999999999997</v>
      </c>
      <c r="N45" s="6">
        <v>0.32624999999999998</v>
      </c>
      <c r="O45" s="8">
        <v>0.499</v>
      </c>
      <c r="P45" s="7">
        <v>1.4249999999999999E-2</v>
      </c>
      <c r="Q45" s="7">
        <v>0.27300000000000002</v>
      </c>
      <c r="R45" s="7">
        <v>0.23375000000000001</v>
      </c>
      <c r="S45" s="7">
        <v>3.8250000000000006E-2</v>
      </c>
      <c r="T45" s="7">
        <v>1.4500000000000001E-2</v>
      </c>
      <c r="U45" s="7">
        <v>1.6749999999999998E-3</v>
      </c>
      <c r="V45" s="7">
        <v>0.19825000000000001</v>
      </c>
      <c r="W45" s="7">
        <v>1.7500000000000002E-2</v>
      </c>
      <c r="X45" s="6">
        <v>117850</v>
      </c>
      <c r="Y45" s="6">
        <v>38150</v>
      </c>
    </row>
    <row r="46" spans="1:25" x14ac:dyDescent="0.25">
      <c r="A46" s="18" t="s">
        <v>69</v>
      </c>
      <c r="B46" s="4">
        <v>23.77</v>
      </c>
      <c r="C46" s="5">
        <v>16.100000000000001</v>
      </c>
      <c r="D46" s="4">
        <v>8.01</v>
      </c>
      <c r="E46" s="6">
        <v>8.6</v>
      </c>
      <c r="F46" s="7">
        <v>570</v>
      </c>
      <c r="G46" s="6">
        <v>8.6950000000000003</v>
      </c>
      <c r="H46" s="4">
        <v>418.5</v>
      </c>
      <c r="I46" s="6">
        <v>105</v>
      </c>
      <c r="J46" s="4">
        <v>216</v>
      </c>
      <c r="K46" s="6">
        <v>16.55</v>
      </c>
      <c r="L46" s="4">
        <v>161.5</v>
      </c>
      <c r="M46" s="6">
        <v>4.1159999999999997</v>
      </c>
      <c r="N46" s="6">
        <v>0.32050000000000001</v>
      </c>
      <c r="O46" s="8">
        <v>0.39950000000000002</v>
      </c>
      <c r="P46" s="7">
        <v>1.575E-2</v>
      </c>
      <c r="Q46" s="7">
        <v>0.38374999999999998</v>
      </c>
      <c r="R46" s="7">
        <v>0.42325000000000002</v>
      </c>
      <c r="S46" s="7">
        <v>3.85E-2</v>
      </c>
      <c r="T46" s="7">
        <v>1.8749999999999999E-2</v>
      </c>
      <c r="U46" s="7">
        <v>2.0499999999999997E-3</v>
      </c>
      <c r="V46" s="7">
        <v>0.48414000000000001</v>
      </c>
      <c r="W46" s="7">
        <v>2.0750000000000001E-2</v>
      </c>
      <c r="X46" s="6">
        <v>107050</v>
      </c>
      <c r="Y46" s="6">
        <v>36650</v>
      </c>
    </row>
    <row r="47" spans="1:25" x14ac:dyDescent="0.25">
      <c r="A47" s="18" t="s">
        <v>70</v>
      </c>
      <c r="B47" s="4">
        <v>25.4</v>
      </c>
      <c r="C47" s="5">
        <v>21.425000000000001</v>
      </c>
      <c r="D47" s="4">
        <v>8.1374999999999993</v>
      </c>
      <c r="E47" s="6">
        <v>11.775</v>
      </c>
      <c r="F47" s="7">
        <v>582.25</v>
      </c>
      <c r="G47" s="6">
        <v>8.7850000000000001</v>
      </c>
      <c r="H47" s="4">
        <v>413.25</v>
      </c>
      <c r="I47" s="6">
        <v>102.5</v>
      </c>
      <c r="J47" s="4">
        <v>217.25</v>
      </c>
      <c r="K47" s="6">
        <v>17.98</v>
      </c>
      <c r="L47" s="4">
        <v>137.5</v>
      </c>
      <c r="M47" s="6">
        <v>4.2484999999999999</v>
      </c>
      <c r="N47" s="6">
        <v>0.41275000000000001</v>
      </c>
      <c r="O47" s="8">
        <v>0.41</v>
      </c>
      <c r="P47" s="7">
        <v>1.375E-2</v>
      </c>
      <c r="Q47" s="7">
        <v>0.58774999999999999</v>
      </c>
      <c r="R47" s="7">
        <v>0.51150000000000007</v>
      </c>
      <c r="S47" s="7">
        <v>4.1999999999999996E-2</v>
      </c>
      <c r="T47" s="7">
        <v>9.4999999999999998E-3</v>
      </c>
      <c r="U47" s="7">
        <v>1.325E-3</v>
      </c>
      <c r="V47" s="7">
        <v>0.115</v>
      </c>
      <c r="W47" s="7">
        <v>2.1250000000000002E-2</v>
      </c>
      <c r="X47" s="6">
        <v>63400</v>
      </c>
      <c r="Y47" s="6">
        <v>23650</v>
      </c>
    </row>
    <row r="48" spans="1:25" x14ac:dyDescent="0.25">
      <c r="A48" s="18" t="s">
        <v>71</v>
      </c>
      <c r="B48" s="4">
        <v>36.700000000000003</v>
      </c>
      <c r="C48" s="5">
        <v>17.625</v>
      </c>
      <c r="D48" s="4">
        <v>8.0175000000000001</v>
      </c>
      <c r="E48" s="6">
        <v>18.975000000000001</v>
      </c>
      <c r="F48" s="7">
        <v>501.5</v>
      </c>
      <c r="G48" s="6">
        <v>8.7125000000000004</v>
      </c>
      <c r="H48" s="4">
        <v>365</v>
      </c>
      <c r="I48" s="6">
        <v>107.5</v>
      </c>
      <c r="J48" s="4">
        <v>191.5</v>
      </c>
      <c r="K48" s="6">
        <v>23.024999999999999</v>
      </c>
      <c r="L48" s="4">
        <v>122</v>
      </c>
      <c r="M48" s="6">
        <v>2.7904999999999998</v>
      </c>
      <c r="N48" s="6">
        <v>0.17899999999999999</v>
      </c>
      <c r="O48" s="8">
        <v>0.27075000000000005</v>
      </c>
      <c r="P48" s="7">
        <v>2.2249999999999999E-2</v>
      </c>
      <c r="Q48" s="7">
        <v>0.83299999999999996</v>
      </c>
      <c r="R48" s="7">
        <v>1.0075000000000001</v>
      </c>
      <c r="S48" s="7">
        <v>6.9750000000000006E-2</v>
      </c>
      <c r="T48" s="7">
        <v>9.2500000000000013E-3</v>
      </c>
      <c r="U48" s="7">
        <v>8.0000000000000004E-4</v>
      </c>
      <c r="V48" s="7">
        <v>0.19675000000000001</v>
      </c>
      <c r="W48" s="7">
        <v>2.7E-2</v>
      </c>
      <c r="X48" s="6">
        <v>138000</v>
      </c>
      <c r="Y48" s="6">
        <v>50000</v>
      </c>
    </row>
    <row r="49" spans="1:25" x14ac:dyDescent="0.25">
      <c r="A49" s="18" t="s">
        <v>72</v>
      </c>
      <c r="B49" s="4">
        <v>37.6</v>
      </c>
      <c r="C49" s="5">
        <v>19.074999999999999</v>
      </c>
      <c r="D49" s="4">
        <v>7.97</v>
      </c>
      <c r="E49" s="6">
        <v>11.32</v>
      </c>
      <c r="F49" s="7">
        <v>570.5</v>
      </c>
      <c r="G49" s="6">
        <v>8.7799999999999994</v>
      </c>
      <c r="H49" s="4">
        <v>414.25</v>
      </c>
      <c r="I49" s="6">
        <v>116.5</v>
      </c>
      <c r="J49" s="4">
        <v>233.5</v>
      </c>
      <c r="K49" s="6">
        <v>19.05</v>
      </c>
      <c r="L49" s="4">
        <v>150.25</v>
      </c>
      <c r="M49" s="6">
        <v>3.4212500000000001</v>
      </c>
      <c r="N49" s="6">
        <v>0.27</v>
      </c>
      <c r="O49" s="8">
        <v>0.29925000000000002</v>
      </c>
      <c r="P49" s="7">
        <v>1.35E-2</v>
      </c>
      <c r="Q49" s="7">
        <v>2.4897499999999999</v>
      </c>
      <c r="R49" s="7">
        <v>0.31274999999999997</v>
      </c>
      <c r="S49" s="7">
        <v>3.125E-2</v>
      </c>
      <c r="T49" s="7">
        <v>5.0000000000000001E-3</v>
      </c>
      <c r="U49" s="7">
        <v>9.5E-4</v>
      </c>
      <c r="V49" s="7">
        <v>0.12475</v>
      </c>
      <c r="W49" s="7">
        <v>5.7999999999999996E-2</v>
      </c>
      <c r="X49" s="6">
        <v>77800</v>
      </c>
      <c r="Y49" s="6">
        <v>34150</v>
      </c>
    </row>
    <row r="50" spans="1:25" x14ac:dyDescent="0.25">
      <c r="A50" s="18" t="s">
        <v>73</v>
      </c>
      <c r="B50" s="4">
        <v>44.4</v>
      </c>
      <c r="C50" s="5">
        <v>19.75</v>
      </c>
      <c r="D50" s="4">
        <v>7.7799999999999994</v>
      </c>
      <c r="E50" s="6">
        <v>8.5650000000000013</v>
      </c>
      <c r="F50" s="7">
        <v>468</v>
      </c>
      <c r="G50" s="6">
        <v>8.65</v>
      </c>
      <c r="H50" s="4">
        <v>349</v>
      </c>
      <c r="I50" s="6">
        <v>98.5</v>
      </c>
      <c r="J50" s="4">
        <v>195</v>
      </c>
      <c r="K50" s="6">
        <v>13.114999999999998</v>
      </c>
      <c r="L50" s="4">
        <v>167</v>
      </c>
      <c r="M50" s="6">
        <v>2.6150000000000002</v>
      </c>
      <c r="N50" s="6">
        <v>0.26300000000000001</v>
      </c>
      <c r="O50" s="8">
        <v>0.2195</v>
      </c>
      <c r="P50" s="7">
        <v>3.15E-2</v>
      </c>
      <c r="Q50" s="7">
        <v>0.67849999999999999</v>
      </c>
      <c r="R50" s="7">
        <v>0.7</v>
      </c>
      <c r="S50" s="7">
        <v>6.25E-2</v>
      </c>
      <c r="T50" s="7">
        <v>8.5000000000000006E-3</v>
      </c>
      <c r="U50" s="7">
        <v>2E-3</v>
      </c>
      <c r="V50" s="7">
        <v>0.27100000000000002</v>
      </c>
      <c r="W50" s="7">
        <v>2.7E-2</v>
      </c>
      <c r="X50" s="6">
        <v>52700</v>
      </c>
      <c r="Y50" s="6">
        <v>24550</v>
      </c>
    </row>
    <row r="51" spans="1:25" x14ac:dyDescent="0.25">
      <c r="A51" s="18" t="s">
        <v>74</v>
      </c>
      <c r="B51" s="4">
        <v>71.2</v>
      </c>
      <c r="C51" s="5">
        <v>19.3</v>
      </c>
      <c r="D51" s="4">
        <v>8.0749999999999993</v>
      </c>
      <c r="E51" s="6">
        <v>48.95</v>
      </c>
      <c r="F51" s="7">
        <v>495</v>
      </c>
      <c r="G51" s="6">
        <v>8.81</v>
      </c>
      <c r="H51" s="4">
        <v>317</v>
      </c>
      <c r="I51" s="6">
        <v>113</v>
      </c>
      <c r="J51" s="4">
        <v>196</v>
      </c>
      <c r="K51" s="6">
        <v>16.5</v>
      </c>
      <c r="L51" s="4">
        <v>126</v>
      </c>
      <c r="M51" s="6">
        <v>3.9449999999999998</v>
      </c>
      <c r="N51" s="6">
        <v>0.23899999999999999</v>
      </c>
      <c r="O51" s="8">
        <v>0.36399999999999999</v>
      </c>
      <c r="P51" s="7">
        <v>5.3999999999999999E-2</v>
      </c>
      <c r="Q51" s="7">
        <v>1.99</v>
      </c>
      <c r="R51" s="7">
        <v>4.0310000000000006</v>
      </c>
      <c r="S51" s="7">
        <v>0.14899999999999999</v>
      </c>
      <c r="T51" s="7">
        <v>4.0500000000000001E-2</v>
      </c>
      <c r="U51" s="7">
        <v>3.15E-3</v>
      </c>
      <c r="V51" s="7">
        <v>0.63800000000000001</v>
      </c>
      <c r="W51" s="7">
        <v>4.2500000000000003E-2</v>
      </c>
      <c r="X51" s="6">
        <v>110150</v>
      </c>
      <c r="Y51" s="6">
        <v>38750</v>
      </c>
    </row>
    <row r="52" spans="1:25" x14ac:dyDescent="0.25">
      <c r="A52" s="18" t="s">
        <v>75</v>
      </c>
      <c r="B52" s="4">
        <v>92.4</v>
      </c>
      <c r="C52" s="5">
        <v>19.3</v>
      </c>
      <c r="D52" s="4">
        <v>7.9249999999999998</v>
      </c>
      <c r="E52" s="6">
        <v>739.26499999999999</v>
      </c>
      <c r="F52" s="7">
        <v>495</v>
      </c>
      <c r="G52" s="6">
        <v>8.8699999999999992</v>
      </c>
      <c r="H52" s="4">
        <v>182</v>
      </c>
      <c r="I52" s="6">
        <v>91</v>
      </c>
      <c r="J52" s="4">
        <v>124</v>
      </c>
      <c r="K52" s="6">
        <v>16</v>
      </c>
      <c r="L52" s="4">
        <v>94</v>
      </c>
      <c r="M52" s="6">
        <v>1.9935</v>
      </c>
      <c r="N52" s="6">
        <v>3.7999999999999999E-2</v>
      </c>
      <c r="O52" s="8">
        <v>9.7500000000000003E-2</v>
      </c>
      <c r="P52" s="7">
        <v>3.2000000000000001E-2</v>
      </c>
      <c r="Q52" s="7">
        <v>15.285</v>
      </c>
      <c r="R52" s="7">
        <v>32.234999999999999</v>
      </c>
      <c r="S52" s="7">
        <v>0.2465</v>
      </c>
      <c r="T52" s="7">
        <v>9.0499999999999997E-2</v>
      </c>
      <c r="U52" s="7">
        <v>5.0499999999999998E-3</v>
      </c>
      <c r="V52" s="7">
        <v>0.29849999999999999</v>
      </c>
      <c r="W52" s="7">
        <v>0.13</v>
      </c>
      <c r="X52" s="6">
        <v>99200</v>
      </c>
      <c r="Y52" s="6">
        <v>36200</v>
      </c>
    </row>
    <row r="53" spans="1:25" x14ac:dyDescent="0.25">
      <c r="A53" s="18" t="s">
        <v>76</v>
      </c>
      <c r="B53" s="4">
        <v>41.2</v>
      </c>
      <c r="C53" s="5">
        <v>20.350000000000001</v>
      </c>
      <c r="D53" s="4">
        <v>8.1850000000000005</v>
      </c>
      <c r="E53" s="6">
        <v>84.05</v>
      </c>
      <c r="F53" s="7">
        <v>441</v>
      </c>
      <c r="G53" s="6">
        <v>8.75</v>
      </c>
      <c r="H53" s="4">
        <v>360</v>
      </c>
      <c r="I53" s="6">
        <v>123.5</v>
      </c>
      <c r="J53" s="4">
        <v>143.5</v>
      </c>
      <c r="K53" s="6">
        <v>16.5</v>
      </c>
      <c r="L53" s="4">
        <v>145</v>
      </c>
      <c r="M53" s="6">
        <v>3.1079999999999997</v>
      </c>
      <c r="N53" s="6">
        <v>9.1499999999999998E-2</v>
      </c>
      <c r="O53" s="8">
        <v>0.35899999999999999</v>
      </c>
      <c r="P53" s="7">
        <v>1.7000000000000001E-2</v>
      </c>
      <c r="Q53" s="7">
        <v>3.7</v>
      </c>
      <c r="R53" s="7">
        <v>6.91</v>
      </c>
      <c r="S53" s="7">
        <v>0.2465</v>
      </c>
      <c r="T53" s="7">
        <v>0.1885</v>
      </c>
      <c r="U53" s="7">
        <v>2.4499999999999999E-3</v>
      </c>
      <c r="V53" s="7">
        <v>0.29849999999999999</v>
      </c>
      <c r="W53" s="7">
        <v>0.2235</v>
      </c>
      <c r="X53" s="6">
        <v>81750</v>
      </c>
      <c r="Y53" s="6">
        <v>24400</v>
      </c>
    </row>
    <row r="54" spans="1:25" x14ac:dyDescent="0.25">
      <c r="A54" s="18" t="s">
        <v>77</v>
      </c>
      <c r="B54" s="4">
        <v>21.9</v>
      </c>
      <c r="C54" s="5">
        <v>19.100000000000001</v>
      </c>
      <c r="D54" s="4">
        <v>8.27</v>
      </c>
      <c r="E54" s="6">
        <v>11.35</v>
      </c>
      <c r="F54" s="7">
        <v>596.5</v>
      </c>
      <c r="G54" s="6">
        <v>8.5500000000000007</v>
      </c>
      <c r="H54" s="4">
        <v>428</v>
      </c>
      <c r="I54" s="6">
        <v>153</v>
      </c>
      <c r="J54" s="4">
        <v>254</v>
      </c>
      <c r="K54" s="6">
        <v>23.5</v>
      </c>
      <c r="L54" s="4">
        <v>180.5</v>
      </c>
      <c r="M54" s="6">
        <v>4.1675000000000004</v>
      </c>
      <c r="N54" s="6">
        <v>0.13800000000000001</v>
      </c>
      <c r="O54" s="8">
        <v>0.20650000000000002</v>
      </c>
      <c r="P54" s="7">
        <v>5.6999999999999995E-2</v>
      </c>
      <c r="Q54" s="7">
        <v>0.47850000000000004</v>
      </c>
      <c r="R54" s="7">
        <v>0.54049999999999998</v>
      </c>
      <c r="S54" s="7">
        <v>0.36549999999999999</v>
      </c>
      <c r="T54" s="7">
        <v>2.5000000000000001E-2</v>
      </c>
      <c r="U54" s="7">
        <v>3.0499999999999998E-3</v>
      </c>
      <c r="V54" s="7">
        <v>1.4904999999999999</v>
      </c>
      <c r="W54" s="7">
        <v>2.2499999999999999E-2</v>
      </c>
      <c r="X54" s="6">
        <v>75650</v>
      </c>
      <c r="Y54" s="6">
        <v>27000</v>
      </c>
    </row>
    <row r="55" spans="1:25" x14ac:dyDescent="0.25">
      <c r="A55" s="18" t="s">
        <v>78</v>
      </c>
      <c r="B55" s="4">
        <v>24.3</v>
      </c>
      <c r="C55" s="5">
        <v>16.8</v>
      </c>
      <c r="D55" s="4">
        <v>8.23</v>
      </c>
      <c r="E55" s="6">
        <v>11.164999999999999</v>
      </c>
      <c r="F55" s="7">
        <v>616</v>
      </c>
      <c r="G55" s="6">
        <v>8.5749999999999993</v>
      </c>
      <c r="H55" s="4">
        <v>435</v>
      </c>
      <c r="I55" s="6">
        <v>110.5</v>
      </c>
      <c r="J55" s="4">
        <v>277</v>
      </c>
      <c r="K55" s="6">
        <v>31.5</v>
      </c>
      <c r="L55" s="4">
        <v>126.5</v>
      </c>
      <c r="M55" s="6">
        <v>2.3994999999999997</v>
      </c>
      <c r="N55" s="6">
        <v>0.1825</v>
      </c>
      <c r="O55" s="8">
        <v>0.21299999999999999</v>
      </c>
      <c r="P55" s="7">
        <v>1.15E-2</v>
      </c>
      <c r="Q55" s="7">
        <v>0.26</v>
      </c>
      <c r="R55" s="7">
        <v>0.45500000000000002</v>
      </c>
      <c r="S55" s="7">
        <v>3.3500000000000002E-2</v>
      </c>
      <c r="T55" s="7">
        <v>8.9999999999999993E-3</v>
      </c>
      <c r="U55" s="7">
        <v>2.3E-3</v>
      </c>
      <c r="V55" s="7">
        <v>0.1585</v>
      </c>
      <c r="W55" s="7">
        <v>2.0499999999999997E-2</v>
      </c>
      <c r="X55" s="6">
        <v>97200</v>
      </c>
      <c r="Y55" s="6">
        <v>30600</v>
      </c>
    </row>
    <row r="56" spans="1:25" x14ac:dyDescent="0.25">
      <c r="A56" s="18" t="s">
        <v>79</v>
      </c>
      <c r="B56" s="4">
        <v>23.9</v>
      </c>
      <c r="C56" s="5">
        <v>17.7</v>
      </c>
      <c r="D56" s="4">
        <v>8.36</v>
      </c>
      <c r="E56" s="6">
        <v>5.81</v>
      </c>
      <c r="F56" s="7">
        <v>585.5</v>
      </c>
      <c r="G56" s="6">
        <v>10.475</v>
      </c>
      <c r="H56" s="4">
        <v>384.5</v>
      </c>
      <c r="I56" s="6">
        <v>113.7</v>
      </c>
      <c r="J56" s="4">
        <v>229</v>
      </c>
      <c r="K56" s="6">
        <v>14.1</v>
      </c>
      <c r="L56" s="4">
        <v>166.25</v>
      </c>
      <c r="M56" s="6">
        <v>3.7294999999999998</v>
      </c>
      <c r="N56" s="6">
        <v>0.1605</v>
      </c>
      <c r="O56" s="8">
        <v>0.51249999999999996</v>
      </c>
      <c r="P56" s="7">
        <v>0.01</v>
      </c>
      <c r="Q56" s="7">
        <v>0.41400000000000003</v>
      </c>
      <c r="R56" s="7">
        <v>0.32250000000000001</v>
      </c>
      <c r="S56" s="7">
        <v>4.3499999999999997E-2</v>
      </c>
      <c r="T56" s="7">
        <v>5.0000000000000001E-3</v>
      </c>
      <c r="U56" s="7">
        <v>3.5000000000000001E-3</v>
      </c>
      <c r="V56" s="7">
        <v>0.248</v>
      </c>
      <c r="W56" s="7">
        <v>1.2E-2</v>
      </c>
      <c r="X56" s="6">
        <v>52850</v>
      </c>
      <c r="Y56" s="6">
        <v>16150</v>
      </c>
    </row>
    <row r="57" spans="1:25" x14ac:dyDescent="0.25">
      <c r="A57" s="18" t="s">
        <v>80</v>
      </c>
      <c r="B57" s="4">
        <v>23.1</v>
      </c>
      <c r="C57" s="5">
        <v>16.7</v>
      </c>
      <c r="D57" s="4">
        <v>8.0500000000000007</v>
      </c>
      <c r="E57" s="6">
        <v>17.399999999999999</v>
      </c>
      <c r="F57" s="7">
        <v>587.5</v>
      </c>
      <c r="G57" s="6">
        <v>8.65</v>
      </c>
      <c r="H57" s="4">
        <v>397</v>
      </c>
      <c r="I57" s="6">
        <v>123</v>
      </c>
      <c r="J57" s="4">
        <v>267.5</v>
      </c>
      <c r="K57" s="6">
        <v>36</v>
      </c>
      <c r="L57" s="4">
        <v>192</v>
      </c>
      <c r="M57" s="6">
        <v>4.3099999999999996</v>
      </c>
      <c r="N57" s="6">
        <v>0.19350000000000001</v>
      </c>
      <c r="O57" s="8">
        <v>0.62349999999999994</v>
      </c>
      <c r="P57" s="7">
        <v>0.02</v>
      </c>
      <c r="Q57" s="7">
        <v>0.90349999999999997</v>
      </c>
      <c r="R57" s="7">
        <v>0.76899999999999991</v>
      </c>
      <c r="S57" s="7">
        <v>4.5499999999999999E-2</v>
      </c>
      <c r="T57" s="7">
        <v>9.0000000000000011E-3</v>
      </c>
      <c r="U57" s="7">
        <v>6.0000000000000006E-4</v>
      </c>
      <c r="V57" s="7">
        <v>0.22600000000000001</v>
      </c>
      <c r="W57" s="7">
        <v>7.4999999999999997E-3</v>
      </c>
      <c r="X57" s="6">
        <v>49000</v>
      </c>
      <c r="Y57" s="6">
        <v>25750</v>
      </c>
    </row>
    <row r="58" spans="1:25" x14ac:dyDescent="0.25">
      <c r="A58" s="18" t="s">
        <v>81</v>
      </c>
      <c r="B58" s="4">
        <v>23.3</v>
      </c>
      <c r="C58" s="5">
        <v>17.850000000000001</v>
      </c>
      <c r="D58" s="4">
        <v>8.0350000000000001</v>
      </c>
      <c r="E58" s="6">
        <v>3.0350000000000001</v>
      </c>
      <c r="F58" s="7">
        <v>573.5</v>
      </c>
      <c r="G58" s="6">
        <v>8.9</v>
      </c>
      <c r="H58" s="4">
        <v>428</v>
      </c>
      <c r="I58" s="6">
        <v>101</v>
      </c>
      <c r="J58" s="4">
        <v>243</v>
      </c>
      <c r="K58" s="6">
        <v>36.5</v>
      </c>
      <c r="L58" s="4">
        <v>142.5</v>
      </c>
      <c r="M58" s="6">
        <v>4.5280000000000005</v>
      </c>
      <c r="N58" s="6">
        <v>5.3500000000000006E-2</v>
      </c>
      <c r="O58" s="8">
        <v>0.57599999999999996</v>
      </c>
      <c r="P58" s="7">
        <v>1.0499999999999999E-2</v>
      </c>
      <c r="Q58" s="7">
        <v>0.24049999999999999</v>
      </c>
      <c r="R58" s="7">
        <v>0.38850000000000001</v>
      </c>
      <c r="S58" s="7">
        <v>2.0499999999999997E-2</v>
      </c>
      <c r="T58" s="7">
        <v>2.1999999999999999E-2</v>
      </c>
      <c r="U58" s="7">
        <v>1.3500000000000001E-3</v>
      </c>
      <c r="V58" s="7">
        <v>0.14200000000000002</v>
      </c>
      <c r="W58" s="7">
        <v>2.4500000000000001E-2</v>
      </c>
      <c r="X58" s="6">
        <v>48650</v>
      </c>
      <c r="Y58" s="6">
        <v>15950</v>
      </c>
    </row>
    <row r="59" spans="1:25" x14ac:dyDescent="0.25">
      <c r="A59" s="18" t="s">
        <v>82</v>
      </c>
      <c r="B59" s="4">
        <v>23.9</v>
      </c>
      <c r="C59" s="5">
        <v>18.8</v>
      </c>
      <c r="D59" s="4">
        <v>8.4700000000000006</v>
      </c>
      <c r="E59" s="6">
        <v>5.915</v>
      </c>
      <c r="F59" s="7">
        <v>594</v>
      </c>
      <c r="G59" s="6">
        <v>8.6999999999999993</v>
      </c>
      <c r="H59" s="4">
        <v>376</v>
      </c>
      <c r="I59" s="6">
        <v>114</v>
      </c>
      <c r="J59" s="4">
        <v>251</v>
      </c>
      <c r="K59" s="6">
        <v>25</v>
      </c>
      <c r="L59" s="4">
        <v>204.5</v>
      </c>
      <c r="M59" s="6">
        <v>2.8834999999999997</v>
      </c>
      <c r="N59" s="6">
        <v>7.8E-2</v>
      </c>
      <c r="O59" s="8">
        <v>0.36699999999999999</v>
      </c>
      <c r="P59" s="7">
        <v>1.2E-2</v>
      </c>
      <c r="Q59" s="7">
        <v>0.39400000000000002</v>
      </c>
      <c r="R59" s="7">
        <v>0.26500000000000001</v>
      </c>
      <c r="S59" s="7">
        <v>2.8500000000000001E-2</v>
      </c>
      <c r="T59" s="7">
        <v>1.2500000000000001E-2</v>
      </c>
      <c r="U59" s="7">
        <v>1.0500000000000002E-3</v>
      </c>
      <c r="V59" s="7">
        <v>0.13750000000000001</v>
      </c>
      <c r="W59" s="7">
        <v>2.4500000000000001E-2</v>
      </c>
      <c r="X59" s="6">
        <v>53350</v>
      </c>
      <c r="Y59" s="6">
        <v>22250</v>
      </c>
    </row>
    <row r="60" spans="1:25" x14ac:dyDescent="0.25">
      <c r="A60" s="18" t="s">
        <v>83</v>
      </c>
      <c r="B60" s="4">
        <v>25.2</v>
      </c>
      <c r="C60" s="5">
        <v>17.55</v>
      </c>
      <c r="D60" s="4">
        <v>7.9050000000000002</v>
      </c>
      <c r="E60" s="6">
        <v>22.1</v>
      </c>
      <c r="F60" s="7">
        <v>536</v>
      </c>
      <c r="G60" s="6">
        <v>7.4450000000000003</v>
      </c>
      <c r="H60" s="4">
        <v>365</v>
      </c>
      <c r="I60" s="6">
        <v>98.344999999999999</v>
      </c>
      <c r="J60" s="4">
        <v>253</v>
      </c>
      <c r="K60" s="6">
        <v>13.34</v>
      </c>
      <c r="L60" s="4">
        <v>203.27</v>
      </c>
      <c r="M60" s="6">
        <v>3.5495000000000001</v>
      </c>
      <c r="N60" s="6">
        <v>5.5500000000000001E-2</v>
      </c>
      <c r="O60" s="8">
        <v>0.46700000000000003</v>
      </c>
      <c r="P60" s="7">
        <v>1.4499999999999999E-2</v>
      </c>
      <c r="Q60" s="7">
        <v>1.2849999999999999</v>
      </c>
      <c r="R60" s="7">
        <v>1.5910000000000002</v>
      </c>
      <c r="S60" s="7">
        <v>2.8499999999999998E-2</v>
      </c>
      <c r="T60" s="7">
        <v>6.0000000000000001E-3</v>
      </c>
      <c r="U60" s="7">
        <v>2.2500000000000003E-3</v>
      </c>
      <c r="V60" s="7">
        <v>0.1265</v>
      </c>
      <c r="W60" s="7">
        <v>2.5000000000000001E-2</v>
      </c>
      <c r="X60" s="6">
        <v>48750</v>
      </c>
      <c r="Y60" s="6">
        <v>17900</v>
      </c>
    </row>
    <row r="61" spans="1:25" x14ac:dyDescent="0.25">
      <c r="A61" s="18" t="s">
        <v>84</v>
      </c>
      <c r="B61" s="4">
        <v>30.3</v>
      </c>
      <c r="C61" s="5">
        <v>18.899999999999999</v>
      </c>
      <c r="D61" s="4">
        <v>8.0950000000000006</v>
      </c>
      <c r="E61" s="6">
        <v>17.649999999999999</v>
      </c>
      <c r="F61" s="7">
        <v>521</v>
      </c>
      <c r="G61" s="6">
        <v>8.56</v>
      </c>
      <c r="H61" s="4">
        <v>395</v>
      </c>
      <c r="I61" s="6">
        <v>97.8</v>
      </c>
      <c r="J61" s="4">
        <v>256</v>
      </c>
      <c r="K61" s="6">
        <v>13.885</v>
      </c>
      <c r="L61" s="4">
        <v>155.315</v>
      </c>
      <c r="M61" s="6">
        <v>3.5874999999999999</v>
      </c>
      <c r="N61" s="6">
        <v>0.1295</v>
      </c>
      <c r="O61" s="8">
        <v>0.26750000000000002</v>
      </c>
      <c r="P61" s="7">
        <v>3.5000000000000003E-2</v>
      </c>
      <c r="Q61" s="7">
        <v>0.65600000000000003</v>
      </c>
      <c r="R61" s="7">
        <v>0.92699999999999994</v>
      </c>
      <c r="S61" s="7">
        <v>0.05</v>
      </c>
      <c r="T61" s="7">
        <v>2.2499999999999999E-2</v>
      </c>
      <c r="U61" s="7">
        <v>1.4E-3</v>
      </c>
      <c r="V61" s="7">
        <v>0.1545</v>
      </c>
      <c r="W61" s="7">
        <v>2.4E-2</v>
      </c>
      <c r="X61" s="6">
        <v>75200</v>
      </c>
      <c r="Y61" s="6">
        <v>25800</v>
      </c>
    </row>
    <row r="62" spans="1:25" x14ac:dyDescent="0.25">
      <c r="A62" s="18" t="s">
        <v>85</v>
      </c>
      <c r="B62" s="9">
        <v>35</v>
      </c>
      <c r="C62" s="15">
        <f t="shared" ref="C62:C73" si="0">AVERAGE(C2,C14,C26,C38,C50,)</f>
        <v>16.4375</v>
      </c>
      <c r="D62" s="9">
        <v>8.39</v>
      </c>
      <c r="E62" s="11">
        <v>30.7</v>
      </c>
      <c r="F62" s="12">
        <v>510</v>
      </c>
      <c r="G62" s="11">
        <v>9.0050000000000008</v>
      </c>
      <c r="H62" s="9">
        <v>353</v>
      </c>
      <c r="I62" s="11">
        <v>100.5</v>
      </c>
      <c r="J62" s="9">
        <v>224</v>
      </c>
      <c r="K62" s="11">
        <v>14.76</v>
      </c>
      <c r="L62" s="9">
        <v>151.5</v>
      </c>
      <c r="M62" s="11">
        <v>2.7825000000000002</v>
      </c>
      <c r="N62" s="11">
        <v>0.16300000000000001</v>
      </c>
      <c r="O62" s="16">
        <v>0.14215624999999998</v>
      </c>
      <c r="P62" s="12">
        <v>3.0499999999999999E-2</v>
      </c>
      <c r="Q62" s="12">
        <v>1.2350000000000001</v>
      </c>
      <c r="R62" s="12">
        <v>1.5489999999999999</v>
      </c>
      <c r="S62" s="12">
        <v>8.5999999999999993E-2</v>
      </c>
      <c r="T62" s="12">
        <v>2.35E-2</v>
      </c>
      <c r="U62" s="12">
        <v>1.1000000000000001E-3</v>
      </c>
      <c r="V62" s="12">
        <v>0.316</v>
      </c>
      <c r="W62" s="12">
        <v>3.6000000000000004E-2</v>
      </c>
      <c r="X62" s="6">
        <v>49753.384999999995</v>
      </c>
      <c r="Y62" s="6">
        <v>19571.895</v>
      </c>
    </row>
    <row r="63" spans="1:25" x14ac:dyDescent="0.25">
      <c r="A63" s="18" t="s">
        <v>86</v>
      </c>
      <c r="B63" s="9">
        <v>38.299999999999997</v>
      </c>
      <c r="C63" s="15">
        <f t="shared" si="0"/>
        <v>17.274999999999999</v>
      </c>
      <c r="D63" s="9">
        <v>8.4250000000000007</v>
      </c>
      <c r="E63" s="11">
        <v>51.7</v>
      </c>
      <c r="F63" s="12">
        <v>487.5</v>
      </c>
      <c r="G63" s="11">
        <v>8.4749999999999996</v>
      </c>
      <c r="H63" s="9">
        <v>452</v>
      </c>
      <c r="I63" s="11">
        <v>93.99</v>
      </c>
      <c r="J63" s="9">
        <v>239.36</v>
      </c>
      <c r="K63" s="11">
        <v>15.020499999999998</v>
      </c>
      <c r="L63" s="9">
        <v>126.5</v>
      </c>
      <c r="M63" s="11">
        <v>2.5720000000000001</v>
      </c>
      <c r="N63" s="11">
        <v>0.13950000000000001</v>
      </c>
      <c r="O63" s="16">
        <v>0.10403124999999999</v>
      </c>
      <c r="P63" s="12">
        <v>2.9499999999999998E-2</v>
      </c>
      <c r="Q63" s="12">
        <v>0.26350000000000001</v>
      </c>
      <c r="R63" s="12">
        <v>0.3775</v>
      </c>
      <c r="S63" s="12">
        <v>4.2500000000000003E-2</v>
      </c>
      <c r="T63" s="17">
        <f>0.005/2</f>
        <v>2.5000000000000001E-3</v>
      </c>
      <c r="U63" s="12">
        <v>1.15E-3</v>
      </c>
      <c r="V63" s="12">
        <v>0.34799999999999998</v>
      </c>
      <c r="W63" s="12">
        <v>2.0500000000000001E-2</v>
      </c>
      <c r="X63" s="6">
        <v>227558.685</v>
      </c>
      <c r="Y63" s="6">
        <v>12323.3</v>
      </c>
    </row>
    <row r="64" spans="1:25" x14ac:dyDescent="0.25">
      <c r="A64" s="18" t="s">
        <v>87</v>
      </c>
      <c r="B64" s="9">
        <v>84.82</v>
      </c>
      <c r="C64" s="15">
        <f t="shared" si="0"/>
        <v>17.274999999999999</v>
      </c>
      <c r="D64" s="9">
        <v>8.1850000000000005</v>
      </c>
      <c r="E64" s="11">
        <v>108.8</v>
      </c>
      <c r="F64" s="12">
        <v>374</v>
      </c>
      <c r="G64" s="11">
        <v>10.36</v>
      </c>
      <c r="H64" s="9">
        <v>255.5</v>
      </c>
      <c r="I64" s="11">
        <v>69.87</v>
      </c>
      <c r="J64" s="9">
        <v>178.65</v>
      </c>
      <c r="K64" s="11">
        <v>9.1349999999999998</v>
      </c>
      <c r="L64" s="9">
        <v>90.5</v>
      </c>
      <c r="M64" s="11">
        <v>2.0640000000000001</v>
      </c>
      <c r="N64" s="11">
        <v>2.6500000000000003E-2</v>
      </c>
      <c r="O64" s="16">
        <v>7.0906250000000004E-2</v>
      </c>
      <c r="P64" s="12">
        <v>5.9000000000000004E-2</v>
      </c>
      <c r="Q64" s="12">
        <v>6.2539999999999996</v>
      </c>
      <c r="R64" s="12">
        <v>3.9139999999999997</v>
      </c>
      <c r="S64" s="12">
        <v>0.19400000000000001</v>
      </c>
      <c r="T64" s="12">
        <v>3.7499999999999999E-2</v>
      </c>
      <c r="U64" s="12">
        <v>8.5000000000000006E-4</v>
      </c>
      <c r="V64" s="12">
        <v>0.61699999999999999</v>
      </c>
      <c r="W64" s="12">
        <v>4.2500000000000003E-2</v>
      </c>
      <c r="X64" s="6">
        <v>60605.850000000006</v>
      </c>
      <c r="Y64" s="6">
        <v>24821.08</v>
      </c>
    </row>
    <row r="65" spans="1:25" x14ac:dyDescent="0.25">
      <c r="A65" s="18" t="s">
        <v>88</v>
      </c>
      <c r="B65" s="9">
        <v>32.299999999999997</v>
      </c>
      <c r="C65" s="15">
        <f t="shared" si="0"/>
        <v>17.2</v>
      </c>
      <c r="D65" s="9">
        <v>8.18</v>
      </c>
      <c r="E65" s="11">
        <v>10.65</v>
      </c>
      <c r="F65" s="12">
        <v>439.5</v>
      </c>
      <c r="G65" s="11">
        <v>7.88</v>
      </c>
      <c r="H65" s="9">
        <v>294.5</v>
      </c>
      <c r="I65" s="11">
        <v>80.135000000000005</v>
      </c>
      <c r="J65" s="9">
        <v>207.52850000000001</v>
      </c>
      <c r="K65" s="11">
        <v>11.747999999999999</v>
      </c>
      <c r="L65" s="9">
        <v>113.285</v>
      </c>
      <c r="M65" s="11">
        <v>2.242</v>
      </c>
      <c r="N65" s="11">
        <v>5.7999999999999996E-2</v>
      </c>
      <c r="O65" s="16">
        <v>0.13134374999999998</v>
      </c>
      <c r="P65" s="12">
        <v>4.5999999999999999E-2</v>
      </c>
      <c r="Q65" s="12">
        <v>0.82450000000000001</v>
      </c>
      <c r="R65" s="12">
        <v>0.86399999999999999</v>
      </c>
      <c r="S65" s="12">
        <v>0.1</v>
      </c>
      <c r="T65" s="12">
        <v>4.1499999999999995E-2</v>
      </c>
      <c r="U65" s="12">
        <v>6.9999999999999999E-4</v>
      </c>
      <c r="V65" s="12">
        <v>0.36499999999999999</v>
      </c>
      <c r="W65" s="12">
        <v>1.4499999999999999E-2</v>
      </c>
      <c r="X65" s="6">
        <v>216432.74000000002</v>
      </c>
      <c r="Y65" s="6">
        <v>14517.105</v>
      </c>
    </row>
    <row r="66" spans="1:25" x14ac:dyDescent="0.25">
      <c r="A66" s="18" t="s">
        <v>89</v>
      </c>
      <c r="B66" s="9">
        <v>25.2</v>
      </c>
      <c r="C66" s="15">
        <f t="shared" si="0"/>
        <v>15.879166666666668</v>
      </c>
      <c r="D66" s="9">
        <v>8.1050000000000004</v>
      </c>
      <c r="E66" s="11">
        <v>8.4350000000000005</v>
      </c>
      <c r="F66" s="12">
        <v>558</v>
      </c>
      <c r="G66" s="11">
        <v>8.3149999999999995</v>
      </c>
      <c r="H66" s="9">
        <v>374</v>
      </c>
      <c r="I66" s="11">
        <v>87.015000000000001</v>
      </c>
      <c r="J66" s="9">
        <v>238.5</v>
      </c>
      <c r="K66" s="11">
        <v>14.824999999999999</v>
      </c>
      <c r="L66" s="9">
        <v>130.38999999999999</v>
      </c>
      <c r="M66" s="11">
        <v>2.6549999999999998</v>
      </c>
      <c r="N66" s="11">
        <v>0.13450000000000001</v>
      </c>
      <c r="O66" s="16">
        <v>0.16325000000000003</v>
      </c>
      <c r="P66" s="12">
        <v>3.1E-2</v>
      </c>
      <c r="Q66" s="12">
        <v>0.4965</v>
      </c>
      <c r="R66" s="12">
        <v>0.41499999999999998</v>
      </c>
      <c r="S66" s="12">
        <v>0.06</v>
      </c>
      <c r="T66" s="12">
        <v>1.4999999999999999E-2</v>
      </c>
      <c r="U66" s="12">
        <v>1.65E-3</v>
      </c>
      <c r="V66" s="12">
        <v>0.32300000000000001</v>
      </c>
      <c r="W66" s="12">
        <v>3.1E-2</v>
      </c>
      <c r="X66" s="6">
        <v>74821</v>
      </c>
      <c r="Y66" s="6">
        <v>31003.95</v>
      </c>
    </row>
    <row r="67" spans="1:25" x14ac:dyDescent="0.25">
      <c r="A67" s="18" t="s">
        <v>90</v>
      </c>
      <c r="B67" s="9">
        <v>24.2</v>
      </c>
      <c r="C67" s="15">
        <f t="shared" si="0"/>
        <v>14.766666666666666</v>
      </c>
      <c r="D67" s="9">
        <v>7.9649999999999999</v>
      </c>
      <c r="E67" s="11">
        <v>6.53</v>
      </c>
      <c r="F67" s="12">
        <v>625</v>
      </c>
      <c r="G67" s="11">
        <v>8.66</v>
      </c>
      <c r="H67" s="9">
        <v>418.5</v>
      </c>
      <c r="I67" s="11">
        <v>117.39</v>
      </c>
      <c r="J67" s="9">
        <v>282.02</v>
      </c>
      <c r="K67" s="11">
        <v>19.57</v>
      </c>
      <c r="L67" s="9">
        <v>162.755</v>
      </c>
      <c r="M67" s="11">
        <v>3.4975000000000001</v>
      </c>
      <c r="N67" s="11">
        <v>0.10600000000000001</v>
      </c>
      <c r="O67" s="16">
        <v>0.19918750000000002</v>
      </c>
      <c r="P67" s="12">
        <v>3.6500000000000005E-2</v>
      </c>
      <c r="Q67" s="12">
        <v>0.25700000000000001</v>
      </c>
      <c r="R67" s="12">
        <v>0.16899999999999998</v>
      </c>
      <c r="S67" s="12">
        <v>3.15E-2</v>
      </c>
      <c r="T67" s="12">
        <v>2.1499999999999998E-2</v>
      </c>
      <c r="U67" s="12">
        <v>3.5000000000000001E-3</v>
      </c>
      <c r="V67" s="12">
        <v>0.28999999999999998</v>
      </c>
      <c r="W67" s="12">
        <v>3.1E-2</v>
      </c>
      <c r="X67" s="6">
        <v>61485.919999999998</v>
      </c>
      <c r="Y67" s="6">
        <v>17462.334999999999</v>
      </c>
    </row>
    <row r="68" spans="1:25" x14ac:dyDescent="0.25">
      <c r="A68" s="18" t="s">
        <v>91</v>
      </c>
      <c r="B68" s="9">
        <v>21.1</v>
      </c>
      <c r="C68" s="15">
        <f t="shared" si="0"/>
        <v>14.266666666666666</v>
      </c>
      <c r="D68" s="9">
        <v>7.86</v>
      </c>
      <c r="E68" s="11">
        <v>21.1</v>
      </c>
      <c r="F68" s="12">
        <v>555</v>
      </c>
      <c r="G68" s="11">
        <v>8.85</v>
      </c>
      <c r="H68" s="9">
        <v>462.5</v>
      </c>
      <c r="I68" s="11">
        <v>119.435</v>
      </c>
      <c r="J68" s="9">
        <v>282</v>
      </c>
      <c r="K68" s="11">
        <v>15.5235</v>
      </c>
      <c r="L68" s="9">
        <v>159.76349999999999</v>
      </c>
      <c r="M68" s="11">
        <v>3.2450000000000001</v>
      </c>
      <c r="N68" s="11">
        <v>0.214</v>
      </c>
      <c r="O68" s="16">
        <v>0.22943749999999999</v>
      </c>
      <c r="P68" s="12">
        <v>5.7000000000000002E-2</v>
      </c>
      <c r="Q68" s="12">
        <v>0.86949999999999994</v>
      </c>
      <c r="R68" s="12">
        <v>1.069</v>
      </c>
      <c r="S68" s="12">
        <v>0.1055</v>
      </c>
      <c r="T68" s="12">
        <v>2.0999999999999998E-2</v>
      </c>
      <c r="U68" s="12">
        <v>1.8500000000000001E-3</v>
      </c>
      <c r="V68" s="12">
        <v>0.40500000000000003</v>
      </c>
      <c r="W68" s="12">
        <v>2.35E-2</v>
      </c>
      <c r="X68" s="6">
        <v>86360.175000000003</v>
      </c>
      <c r="Y68" s="6">
        <v>24318.915000000001</v>
      </c>
    </row>
    <row r="69" spans="1:25" x14ac:dyDescent="0.25">
      <c r="A69" s="18" t="s">
        <v>92</v>
      </c>
      <c r="B69" s="4">
        <v>20.8</v>
      </c>
      <c r="C69" s="15">
        <f t="shared" si="0"/>
        <v>13.458333333333334</v>
      </c>
      <c r="D69" s="4">
        <v>7.61</v>
      </c>
      <c r="E69" s="6">
        <v>4.585</v>
      </c>
      <c r="F69" s="7">
        <v>547</v>
      </c>
      <c r="G69" s="6">
        <v>8.65</v>
      </c>
      <c r="H69" s="4">
        <v>366.5</v>
      </c>
      <c r="I69" s="6">
        <v>101</v>
      </c>
      <c r="J69" s="4">
        <v>253.27</v>
      </c>
      <c r="K69" s="6">
        <v>16.176500000000001</v>
      </c>
      <c r="L69" s="4">
        <v>119</v>
      </c>
      <c r="M69" s="6">
        <v>1.6105</v>
      </c>
      <c r="N69" s="6">
        <v>0.22</v>
      </c>
      <c r="O69" s="16">
        <v>0.2749375</v>
      </c>
      <c r="P69" s="7">
        <v>7.0500000000000007E-2</v>
      </c>
      <c r="Q69" s="7">
        <v>0.47100000000000003</v>
      </c>
      <c r="R69" s="7">
        <v>0.995</v>
      </c>
      <c r="S69" s="7">
        <v>0.11399999999999999</v>
      </c>
      <c r="T69" s="7">
        <v>2.75E-2</v>
      </c>
      <c r="U69" s="7">
        <v>3.3499999999999997E-3</v>
      </c>
      <c r="V69" s="7">
        <v>0.57550000000000001</v>
      </c>
      <c r="W69" s="7">
        <v>2.2499999999999999E-2</v>
      </c>
      <c r="X69" s="6">
        <v>99178.544999999998</v>
      </c>
      <c r="Y69" s="6">
        <v>31748.644999999997</v>
      </c>
    </row>
    <row r="70" spans="1:25" x14ac:dyDescent="0.25">
      <c r="A70" s="18" t="s">
        <v>93</v>
      </c>
      <c r="B70" s="9">
        <v>21.67</v>
      </c>
      <c r="C70" s="15">
        <f t="shared" si="0"/>
        <v>14.109166666666667</v>
      </c>
      <c r="D70" s="9">
        <v>7.79</v>
      </c>
      <c r="E70" s="11">
        <v>15.75</v>
      </c>
      <c r="F70" s="12">
        <v>517</v>
      </c>
      <c r="G70" s="11">
        <v>8.75</v>
      </c>
      <c r="H70" s="9">
        <v>346.5</v>
      </c>
      <c r="I70" s="11">
        <v>110</v>
      </c>
      <c r="J70" s="9">
        <v>243</v>
      </c>
      <c r="K70" s="11">
        <v>13.468999999999999</v>
      </c>
      <c r="L70" s="9">
        <v>132.97</v>
      </c>
      <c r="M70" s="11">
        <v>2.08</v>
      </c>
      <c r="N70" s="11">
        <v>0.13550000000000001</v>
      </c>
      <c r="O70" s="16">
        <v>0.26956250000000004</v>
      </c>
      <c r="P70" s="12">
        <v>9.7500000000000003E-2</v>
      </c>
      <c r="Q70" s="12">
        <v>0.42849999999999999</v>
      </c>
      <c r="R70" s="12">
        <v>0.41700000000000004</v>
      </c>
      <c r="S70" s="12">
        <v>5.1500000000000004E-2</v>
      </c>
      <c r="T70" s="12">
        <v>2.4E-2</v>
      </c>
      <c r="U70" s="12">
        <v>1.0500000000000002E-3</v>
      </c>
      <c r="V70" s="12">
        <v>0.17899999999999999</v>
      </c>
      <c r="W70" s="12">
        <v>2.3E-2</v>
      </c>
      <c r="X70" s="6">
        <v>77160.505000000005</v>
      </c>
      <c r="Y70" s="6">
        <v>18618.595000000001</v>
      </c>
    </row>
    <row r="71" spans="1:25" x14ac:dyDescent="0.25">
      <c r="A71" s="18" t="s">
        <v>94</v>
      </c>
      <c r="B71" s="9">
        <v>22.1</v>
      </c>
      <c r="C71" s="15">
        <f t="shared" si="0"/>
        <v>15.983333333333333</v>
      </c>
      <c r="D71" s="9">
        <v>7.83</v>
      </c>
      <c r="E71" s="11">
        <v>9.65</v>
      </c>
      <c r="F71" s="12">
        <v>526</v>
      </c>
      <c r="G71" s="11">
        <v>8.6150000000000002</v>
      </c>
      <c r="H71" s="9">
        <v>352</v>
      </c>
      <c r="I71" s="11">
        <v>100.24</v>
      </c>
      <c r="J71" s="9">
        <v>242.89</v>
      </c>
      <c r="K71" s="11">
        <v>13.542000000000002</v>
      </c>
      <c r="L71" s="9">
        <v>109.07</v>
      </c>
      <c r="M71" s="11">
        <v>1.9924999999999999</v>
      </c>
      <c r="N71" s="11">
        <v>0.13850000000000001</v>
      </c>
      <c r="O71" s="16">
        <v>0.24978124999999995</v>
      </c>
      <c r="P71" s="12">
        <v>6.9250000000000006E-2</v>
      </c>
      <c r="Q71" s="12">
        <v>0.19769999999999999</v>
      </c>
      <c r="R71" s="12">
        <v>0.17610000000000001</v>
      </c>
      <c r="S71" s="12">
        <v>3.7699999999999997E-2</v>
      </c>
      <c r="T71" s="12">
        <v>8.8999999999999999E-3</v>
      </c>
      <c r="U71" s="12">
        <v>1.7499999999999998E-3</v>
      </c>
      <c r="V71" s="12">
        <v>0.30735000000000001</v>
      </c>
      <c r="W71" s="12">
        <v>1.5699999999999999E-2</v>
      </c>
      <c r="X71" s="6">
        <v>62545.764999999999</v>
      </c>
      <c r="Y71" s="6">
        <v>21480.145</v>
      </c>
    </row>
    <row r="72" spans="1:25" x14ac:dyDescent="0.25">
      <c r="A72" s="18" t="s">
        <v>95</v>
      </c>
      <c r="B72" s="9">
        <v>25.3</v>
      </c>
      <c r="C72" s="15">
        <f t="shared" si="0"/>
        <v>15.283333333333333</v>
      </c>
      <c r="D72" s="9">
        <v>8.0050000000000008</v>
      </c>
      <c r="E72" s="11">
        <v>12.25</v>
      </c>
      <c r="F72" s="12">
        <v>574.5</v>
      </c>
      <c r="G72" s="11">
        <v>8.6199999999999992</v>
      </c>
      <c r="H72" s="9">
        <v>385</v>
      </c>
      <c r="I72" s="11">
        <v>106.545</v>
      </c>
      <c r="J72" s="9">
        <v>218.64</v>
      </c>
      <c r="K72" s="11">
        <v>15.21</v>
      </c>
      <c r="L72" s="9">
        <v>163.36000000000001</v>
      </c>
      <c r="M72" s="11">
        <v>2.3534999999999999</v>
      </c>
      <c r="N72" s="11">
        <v>0.155</v>
      </c>
      <c r="O72" s="16">
        <v>0.23808124999999999</v>
      </c>
      <c r="P72" s="12">
        <v>2.8450000000000003E-2</v>
      </c>
      <c r="Q72" s="12">
        <v>0.40525</v>
      </c>
      <c r="R72" s="12">
        <v>0.6503000000000001</v>
      </c>
      <c r="S72" s="12">
        <v>8.3350000000000007E-2</v>
      </c>
      <c r="T72" s="12">
        <v>2.0200000000000003E-2</v>
      </c>
      <c r="U72" s="12">
        <v>1.75E-3</v>
      </c>
      <c r="V72" s="12">
        <v>0.21725</v>
      </c>
      <c r="W72" s="12">
        <v>2.58E-2</v>
      </c>
      <c r="X72" s="6">
        <v>65423.294999999998</v>
      </c>
      <c r="Y72" s="6">
        <v>27549.38</v>
      </c>
    </row>
    <row r="73" spans="1:25" x14ac:dyDescent="0.25">
      <c r="A73" s="18" t="s">
        <v>96</v>
      </c>
      <c r="B73" s="9">
        <v>27</v>
      </c>
      <c r="C73" s="15">
        <f t="shared" si="0"/>
        <v>15.758333333333331</v>
      </c>
      <c r="D73" s="9">
        <v>7.625</v>
      </c>
      <c r="E73" s="11">
        <v>23.55</v>
      </c>
      <c r="F73" s="12">
        <v>528</v>
      </c>
      <c r="G73" s="11">
        <v>8.8699999999999992</v>
      </c>
      <c r="H73" s="9">
        <v>353.5</v>
      </c>
      <c r="I73" s="11">
        <v>105.4935</v>
      </c>
      <c r="J73" s="9">
        <v>232.91300000000001</v>
      </c>
      <c r="K73" s="11">
        <v>11.327500000000001</v>
      </c>
      <c r="L73" s="9">
        <v>128.57150000000001</v>
      </c>
      <c r="M73" s="11">
        <v>1.6595</v>
      </c>
      <c r="N73" s="11">
        <v>6.2E-2</v>
      </c>
      <c r="O73" s="16">
        <v>0.18288750000000004</v>
      </c>
      <c r="P73" s="12">
        <v>2.8549999999999999E-2</v>
      </c>
      <c r="Q73" s="12">
        <v>0.32635000000000003</v>
      </c>
      <c r="R73" s="12">
        <v>0.49535000000000001</v>
      </c>
      <c r="S73" s="12">
        <v>6.5500000000000003E-2</v>
      </c>
      <c r="T73" s="12">
        <v>6.45E-3</v>
      </c>
      <c r="U73" s="12">
        <v>1.4499999999999999E-3</v>
      </c>
      <c r="V73" s="12">
        <v>0.28885</v>
      </c>
      <c r="W73" s="12">
        <v>1.9400000000000001E-2</v>
      </c>
      <c r="X73" s="6">
        <v>87690.44</v>
      </c>
      <c r="Y73" s="6">
        <v>26486.73</v>
      </c>
    </row>
    <row r="74" spans="1:25" x14ac:dyDescent="0.25">
      <c r="A74" s="18" t="s">
        <v>97</v>
      </c>
      <c r="B74" s="4">
        <v>38.200000000000003</v>
      </c>
      <c r="C74" s="15">
        <f t="shared" ref="C74:C85" si="1">AVERAGE(C14,C26,C38,C50,C62,C2)</f>
        <v>19.177083333333332</v>
      </c>
      <c r="D74" s="4">
        <v>7.42</v>
      </c>
      <c r="E74" s="6">
        <v>25.2</v>
      </c>
      <c r="F74" s="7">
        <v>586</v>
      </c>
      <c r="G74" s="6">
        <v>8.8999999999999986</v>
      </c>
      <c r="H74" s="4">
        <v>395</v>
      </c>
      <c r="I74" s="6">
        <v>115.88800000000001</v>
      </c>
      <c r="J74" s="4">
        <v>249.715</v>
      </c>
      <c r="K74" s="6">
        <v>18.472000000000001</v>
      </c>
      <c r="L74" s="4">
        <v>162.185</v>
      </c>
      <c r="M74" s="6">
        <v>2.7039999999999997</v>
      </c>
      <c r="N74" s="6">
        <v>0.222</v>
      </c>
      <c r="O74" s="16">
        <v>0.16770312500000001</v>
      </c>
      <c r="P74" s="7">
        <v>4.2999999999999997E-2</v>
      </c>
      <c r="Q74" s="7">
        <v>0.41249999999999998</v>
      </c>
      <c r="R74" s="7">
        <v>0.71299999999999997</v>
      </c>
      <c r="S74" s="7">
        <v>8.3999999999999991E-2</v>
      </c>
      <c r="T74" s="7">
        <v>1.26E-2</v>
      </c>
      <c r="U74" s="7">
        <v>2.3499999999999997E-3</v>
      </c>
      <c r="V74" s="7">
        <v>0.34749999999999998</v>
      </c>
      <c r="W74" s="7">
        <v>2.2499999999999999E-2</v>
      </c>
      <c r="X74" s="6">
        <v>104983.50412541567</v>
      </c>
      <c r="Y74" s="6">
        <v>31055.34866695412</v>
      </c>
    </row>
    <row r="75" spans="1:25" x14ac:dyDescent="0.25">
      <c r="A75" s="18" t="s">
        <v>98</v>
      </c>
      <c r="B75" s="4">
        <v>40.200000000000003</v>
      </c>
      <c r="C75" s="15">
        <f t="shared" si="1"/>
        <v>20.154166666666665</v>
      </c>
      <c r="D75" s="4">
        <v>7.0549999999999997</v>
      </c>
      <c r="E75" s="6">
        <v>42.650000000000006</v>
      </c>
      <c r="F75" s="7">
        <v>428.5</v>
      </c>
      <c r="G75" s="6">
        <v>8.82</v>
      </c>
      <c r="H75" s="4">
        <v>351</v>
      </c>
      <c r="I75" s="6">
        <v>86.19550000000001</v>
      </c>
      <c r="J75" s="4">
        <v>185.43</v>
      </c>
      <c r="K75" s="6">
        <v>13.9565</v>
      </c>
      <c r="L75" s="4">
        <v>113.00749999999999</v>
      </c>
      <c r="M75" s="6">
        <v>1.7175</v>
      </c>
      <c r="N75" s="6">
        <v>8.5999999999999993E-2</v>
      </c>
      <c r="O75" s="16">
        <v>0.12551562499999999</v>
      </c>
      <c r="P75" s="7">
        <v>5.1000000000000004E-2</v>
      </c>
      <c r="Q75" s="7">
        <v>0.98850000000000005</v>
      </c>
      <c r="R75" s="7">
        <v>1.4180000000000001</v>
      </c>
      <c r="S75" s="7">
        <v>0.153</v>
      </c>
      <c r="T75" s="7">
        <v>1.7950000000000001E-2</v>
      </c>
      <c r="U75" s="7">
        <v>2.15E-3</v>
      </c>
      <c r="V75" s="7">
        <v>0.34699999999999998</v>
      </c>
      <c r="W75" s="7">
        <v>1.95E-2</v>
      </c>
      <c r="X75" s="6">
        <v>99585.381989963847</v>
      </c>
      <c r="Y75" s="6">
        <v>32746.875991963396</v>
      </c>
    </row>
    <row r="76" spans="1:25" x14ac:dyDescent="0.25">
      <c r="A76" s="18" t="s">
        <v>99</v>
      </c>
      <c r="B76" s="4">
        <v>66</v>
      </c>
      <c r="C76" s="15">
        <f t="shared" si="1"/>
        <v>20.154166666666665</v>
      </c>
      <c r="D76" s="4">
        <v>7.7949999999999999</v>
      </c>
      <c r="E76" s="6">
        <v>72.8</v>
      </c>
      <c r="F76" s="7">
        <v>387</v>
      </c>
      <c r="G76" s="6">
        <v>8.6999999999999993</v>
      </c>
      <c r="H76" s="4">
        <v>304</v>
      </c>
      <c r="I76" s="6">
        <v>81.664999999999992</v>
      </c>
      <c r="J76" s="4">
        <v>205.22649999999999</v>
      </c>
      <c r="K76" s="6">
        <v>9.1780000000000008</v>
      </c>
      <c r="L76" s="4">
        <v>97.738499999999988</v>
      </c>
      <c r="M76" s="6">
        <v>1.635</v>
      </c>
      <c r="N76" s="6">
        <v>0.09</v>
      </c>
      <c r="O76" s="16">
        <v>9.2765625000000004E-2</v>
      </c>
      <c r="P76" s="7">
        <v>0.109</v>
      </c>
      <c r="Q76" s="7">
        <v>1.6305000000000001</v>
      </c>
      <c r="R76" s="7">
        <v>3.13</v>
      </c>
      <c r="S76" s="7">
        <v>0.30299999999999999</v>
      </c>
      <c r="T76" s="7">
        <v>5.7549999999999997E-2</v>
      </c>
      <c r="U76" s="7">
        <v>3.4499999999999999E-3</v>
      </c>
      <c r="V76" s="7">
        <v>0.70850000000000002</v>
      </c>
      <c r="W76" s="7">
        <v>4.65E-2</v>
      </c>
      <c r="X76" s="6">
        <v>121787.22971166749</v>
      </c>
      <c r="Y76" s="6">
        <v>43222.583172016035</v>
      </c>
    </row>
    <row r="77" spans="1:25" x14ac:dyDescent="0.25">
      <c r="A77" s="18" t="s">
        <v>100</v>
      </c>
      <c r="B77" s="4">
        <v>44</v>
      </c>
      <c r="C77" s="15">
        <f t="shared" si="1"/>
        <v>20.066666666666666</v>
      </c>
      <c r="D77" s="4">
        <v>7.6</v>
      </c>
      <c r="E77" s="6">
        <v>22.299999999999997</v>
      </c>
      <c r="F77" s="7">
        <v>422.5</v>
      </c>
      <c r="G77" s="6">
        <v>8.2799999999999994</v>
      </c>
      <c r="H77" s="4">
        <v>317.5</v>
      </c>
      <c r="I77" s="6">
        <v>71.642500000000013</v>
      </c>
      <c r="J77" s="4">
        <v>174.0625</v>
      </c>
      <c r="K77" s="6">
        <v>11.824</v>
      </c>
      <c r="L77" s="4">
        <v>108.691</v>
      </c>
      <c r="M77" s="6">
        <v>1.867</v>
      </c>
      <c r="N77" s="6">
        <v>8.8499999999999995E-2</v>
      </c>
      <c r="O77" s="16">
        <v>0.15006770833333336</v>
      </c>
      <c r="P77" s="7">
        <v>4.1000000000000002E-2</v>
      </c>
      <c r="Q77" s="7">
        <v>0.63949999999999996</v>
      </c>
      <c r="R77" s="7">
        <v>0.84950000000000003</v>
      </c>
      <c r="S77" s="7">
        <v>0.1</v>
      </c>
      <c r="T77" s="7">
        <v>1.225E-2</v>
      </c>
      <c r="U77" s="7">
        <v>2.3999999999999998E-3</v>
      </c>
      <c r="V77" s="7">
        <v>0.36449999999999999</v>
      </c>
      <c r="W77" s="7">
        <v>2.1000000000000001E-2</v>
      </c>
      <c r="X77" s="6">
        <v>27745.16076859727</v>
      </c>
      <c r="Y77" s="6">
        <v>19211.54544165641</v>
      </c>
    </row>
    <row r="78" spans="1:25" x14ac:dyDescent="0.25">
      <c r="A78" s="18" t="s">
        <v>101</v>
      </c>
      <c r="B78" s="4">
        <v>25.2</v>
      </c>
      <c r="C78" s="15">
        <f t="shared" si="1"/>
        <v>18.525694444444444</v>
      </c>
      <c r="D78" s="4">
        <v>8.17</v>
      </c>
      <c r="E78" s="6">
        <v>12.055</v>
      </c>
      <c r="F78" s="7">
        <v>526</v>
      </c>
      <c r="G78" s="6">
        <v>8.620000000000001</v>
      </c>
      <c r="H78" s="4">
        <v>227</v>
      </c>
      <c r="I78" s="6">
        <v>107.8515</v>
      </c>
      <c r="J78" s="4">
        <v>217.5215</v>
      </c>
      <c r="K78" s="6">
        <v>16.133000000000003</v>
      </c>
      <c r="L78" s="4">
        <v>135.96949999999998</v>
      </c>
      <c r="M78" s="6">
        <v>1.4529999999999998</v>
      </c>
      <c r="N78" s="6">
        <v>9.9000000000000005E-2</v>
      </c>
      <c r="O78" s="16">
        <v>0.18966666666666668</v>
      </c>
      <c r="P78" s="7">
        <v>3.3000000000000002E-2</v>
      </c>
      <c r="Q78" s="7">
        <v>0.35250000000000004</v>
      </c>
      <c r="R78" s="7">
        <v>0.47899999999999998</v>
      </c>
      <c r="S78" s="7">
        <v>7.4499999999999997E-2</v>
      </c>
      <c r="T78" s="7">
        <v>8.2000000000000007E-3</v>
      </c>
      <c r="U78" s="7">
        <v>2.4000000000000002E-3</v>
      </c>
      <c r="V78" s="7">
        <v>0.38100000000000001</v>
      </c>
      <c r="W78" s="7">
        <v>1.95E-2</v>
      </c>
      <c r="X78" s="6">
        <v>38494.993569706639</v>
      </c>
      <c r="Y78" s="6">
        <v>16894.826965429635</v>
      </c>
    </row>
    <row r="79" spans="1:25" x14ac:dyDescent="0.25">
      <c r="A79" s="18" t="s">
        <v>102</v>
      </c>
      <c r="B79" s="9">
        <v>22.8</v>
      </c>
      <c r="C79" s="15">
        <f t="shared" si="1"/>
        <v>17.227777777777778</v>
      </c>
      <c r="D79" s="9">
        <v>7.52</v>
      </c>
      <c r="E79" s="11">
        <v>5.585</v>
      </c>
      <c r="F79" s="12">
        <v>620.5</v>
      </c>
      <c r="G79" s="11">
        <v>8.5</v>
      </c>
      <c r="H79" s="9">
        <v>509</v>
      </c>
      <c r="I79" s="11">
        <v>120.82</v>
      </c>
      <c r="J79" s="9">
        <v>268.1225</v>
      </c>
      <c r="K79" s="11">
        <v>21.494</v>
      </c>
      <c r="L79" s="9">
        <v>172.55599999999998</v>
      </c>
      <c r="M79" s="11">
        <v>2.0605000000000002</v>
      </c>
      <c r="N79" s="11">
        <v>0.16400000000000001</v>
      </c>
      <c r="O79" s="16">
        <v>0.22761458333333334</v>
      </c>
      <c r="P79" s="12">
        <v>2.35E-2</v>
      </c>
      <c r="Q79" s="12">
        <v>0.14300000000000002</v>
      </c>
      <c r="R79" s="12">
        <v>0.253</v>
      </c>
      <c r="S79" s="12">
        <v>8.2000000000000003E-2</v>
      </c>
      <c r="T79" s="12">
        <v>1.03E-2</v>
      </c>
      <c r="U79" s="12">
        <v>2.3E-3</v>
      </c>
      <c r="V79" s="12">
        <v>0.30499999999999999</v>
      </c>
      <c r="W79" s="12">
        <v>1.6E-2</v>
      </c>
      <c r="X79" s="6">
        <v>58553.683573396862</v>
      </c>
      <c r="Y79" s="6">
        <v>20792.650272877647</v>
      </c>
    </row>
    <row r="80" spans="1:25" x14ac:dyDescent="0.25">
      <c r="A80" s="18" t="s">
        <v>103</v>
      </c>
      <c r="B80" s="9">
        <v>22.7</v>
      </c>
      <c r="C80" s="15">
        <f t="shared" si="1"/>
        <v>16.644444444444446</v>
      </c>
      <c r="D80" s="9">
        <v>7.6400000000000006</v>
      </c>
      <c r="E80" s="11">
        <v>4.9000000000000004</v>
      </c>
      <c r="F80" s="12">
        <v>574.5</v>
      </c>
      <c r="G80" s="11">
        <v>8.5</v>
      </c>
      <c r="H80" s="9">
        <v>471</v>
      </c>
      <c r="I80" s="11">
        <v>112.34649999999999</v>
      </c>
      <c r="J80" s="9">
        <v>227.05549999999999</v>
      </c>
      <c r="K80" s="11">
        <v>15.74</v>
      </c>
      <c r="L80" s="9">
        <v>158.39249999999998</v>
      </c>
      <c r="M80" s="11">
        <v>1.982</v>
      </c>
      <c r="N80" s="11">
        <v>0.1565</v>
      </c>
      <c r="O80" s="16">
        <v>0.25692708333333336</v>
      </c>
      <c r="P80" s="12">
        <v>2.35E-2</v>
      </c>
      <c r="Q80" s="12">
        <v>0.156</v>
      </c>
      <c r="R80" s="12">
        <v>0.2535</v>
      </c>
      <c r="S80" s="12">
        <v>8.2000000000000003E-2</v>
      </c>
      <c r="T80" s="12">
        <v>6.7499999999999999E-3</v>
      </c>
      <c r="U80" s="12">
        <v>1.8500000000000001E-3</v>
      </c>
      <c r="V80" s="12">
        <v>0.30299999999999999</v>
      </c>
      <c r="W80" s="12">
        <v>1.4499999999999999E-2</v>
      </c>
      <c r="X80" s="6">
        <v>87300</v>
      </c>
      <c r="Y80" s="6">
        <v>29500</v>
      </c>
    </row>
    <row r="81" spans="1:25" x14ac:dyDescent="0.25">
      <c r="A81" s="18" t="s">
        <v>104</v>
      </c>
      <c r="B81" s="9">
        <v>23</v>
      </c>
      <c r="C81" s="15">
        <f t="shared" si="1"/>
        <v>15.701388888888888</v>
      </c>
      <c r="D81" s="9">
        <v>7.91</v>
      </c>
      <c r="E81" s="11">
        <v>15.8</v>
      </c>
      <c r="F81" s="12">
        <v>542.5</v>
      </c>
      <c r="G81" s="11">
        <v>8.4499999999999993</v>
      </c>
      <c r="H81" s="9">
        <v>470</v>
      </c>
      <c r="I81" s="11">
        <v>108.59649999999999</v>
      </c>
      <c r="J81" s="9">
        <v>238.899</v>
      </c>
      <c r="K81" s="11">
        <v>13.798500000000001</v>
      </c>
      <c r="L81" s="9">
        <v>151.68899999999999</v>
      </c>
      <c r="M81" s="11">
        <v>2.1555</v>
      </c>
      <c r="N81" s="11">
        <v>5.6500000000000002E-2</v>
      </c>
      <c r="O81" s="16">
        <v>0.30732291666666661</v>
      </c>
      <c r="P81" s="12">
        <v>2.8500000000000001E-2</v>
      </c>
      <c r="Q81" s="12">
        <v>0.33599999999999997</v>
      </c>
      <c r="R81" s="12">
        <v>0.55249999999999999</v>
      </c>
      <c r="S81" s="12">
        <v>8.5499999999999993E-2</v>
      </c>
      <c r="T81" s="12">
        <v>1.4250000000000001E-2</v>
      </c>
      <c r="U81" s="12">
        <v>1.4E-3</v>
      </c>
      <c r="V81" s="12">
        <v>0.3085</v>
      </c>
      <c r="W81" s="12">
        <v>1.7000000000000001E-2</v>
      </c>
      <c r="X81" s="6">
        <v>79200</v>
      </c>
      <c r="Y81" s="6">
        <v>25400</v>
      </c>
    </row>
    <row r="82" spans="1:25" x14ac:dyDescent="0.25">
      <c r="A82" s="18" t="s">
        <v>105</v>
      </c>
      <c r="B82" s="9">
        <v>22</v>
      </c>
      <c r="C82" s="15">
        <f t="shared" si="1"/>
        <v>16.460694444444446</v>
      </c>
      <c r="D82" s="9">
        <v>8.0350000000000001</v>
      </c>
      <c r="E82" s="11">
        <v>11.7</v>
      </c>
      <c r="F82" s="12">
        <v>584</v>
      </c>
      <c r="G82" s="11">
        <v>8.5500000000000007</v>
      </c>
      <c r="H82" s="9">
        <v>480</v>
      </c>
      <c r="I82" s="11">
        <v>111.13</v>
      </c>
      <c r="J82" s="9">
        <v>219.4025</v>
      </c>
      <c r="K82" s="11">
        <v>18.627499999999998</v>
      </c>
      <c r="L82" s="9">
        <v>168.05</v>
      </c>
      <c r="M82" s="11">
        <v>3.7240000000000002</v>
      </c>
      <c r="N82" s="11">
        <v>0.1305</v>
      </c>
      <c r="O82" s="16">
        <v>0.29442708333333334</v>
      </c>
      <c r="P82" s="12">
        <v>3.3500000000000002E-2</v>
      </c>
      <c r="Q82" s="12">
        <v>0.45399999999999996</v>
      </c>
      <c r="R82" s="12">
        <v>8.6499999999999994E-2</v>
      </c>
      <c r="S82" s="12">
        <v>9.9000000000000005E-2</v>
      </c>
      <c r="T82" s="12">
        <v>1.49E-2</v>
      </c>
      <c r="U82" s="12">
        <v>1.65E-3</v>
      </c>
      <c r="V82" s="12">
        <v>0.26250000000000001</v>
      </c>
      <c r="W82" s="12">
        <v>1.6500000000000001E-2</v>
      </c>
      <c r="X82" s="6">
        <v>114850</v>
      </c>
      <c r="Y82" s="6">
        <v>37650</v>
      </c>
    </row>
    <row r="83" spans="1:25" x14ac:dyDescent="0.25">
      <c r="A83" s="18" t="s">
        <v>106</v>
      </c>
      <c r="B83" s="9">
        <v>16.600000000000001</v>
      </c>
      <c r="C83" s="15">
        <f t="shared" si="1"/>
        <v>18.647222222222222</v>
      </c>
      <c r="D83" s="9">
        <v>8.1449999999999996</v>
      </c>
      <c r="E83" s="11">
        <v>9.7799999999999994</v>
      </c>
      <c r="F83" s="12">
        <v>562</v>
      </c>
      <c r="G83" s="11">
        <v>8.5500000000000007</v>
      </c>
      <c r="H83" s="9">
        <v>480.5</v>
      </c>
      <c r="I83" s="11">
        <v>110.5</v>
      </c>
      <c r="J83" s="9">
        <v>237.58999999999997</v>
      </c>
      <c r="K83" s="11">
        <v>16.844999999999999</v>
      </c>
      <c r="L83" s="9">
        <v>156.19</v>
      </c>
      <c r="M83" s="11">
        <v>4.5419999999999998</v>
      </c>
      <c r="N83" s="11">
        <v>0.158</v>
      </c>
      <c r="O83" s="16">
        <v>0.27825104166666664</v>
      </c>
      <c r="P83" s="12">
        <v>2.8150000000000001E-2</v>
      </c>
      <c r="Q83" s="12">
        <v>0.35850000000000004</v>
      </c>
      <c r="R83" s="12">
        <v>0.55099999999999993</v>
      </c>
      <c r="S83" s="12">
        <v>8.9450000000000002E-2</v>
      </c>
      <c r="T83" s="12">
        <v>1.15E-2</v>
      </c>
      <c r="U83" s="12">
        <v>1.3500000000000001E-3</v>
      </c>
      <c r="V83" s="12">
        <v>0.30330000000000001</v>
      </c>
      <c r="W83" s="12">
        <v>1.8500000000000003E-2</v>
      </c>
      <c r="X83" s="6">
        <v>98297.511437324429</v>
      </c>
      <c r="Y83" s="6">
        <v>38342.286637755889</v>
      </c>
    </row>
    <row r="84" spans="1:25" x14ac:dyDescent="0.25">
      <c r="A84" s="18" t="s">
        <v>107</v>
      </c>
      <c r="B84" s="9">
        <v>20.6</v>
      </c>
      <c r="C84" s="15">
        <f t="shared" si="1"/>
        <v>17.830555555555552</v>
      </c>
      <c r="D84" s="9">
        <v>8.19</v>
      </c>
      <c r="E84" s="11">
        <v>9.6349999999999998</v>
      </c>
      <c r="F84" s="12">
        <v>542.5</v>
      </c>
      <c r="G84" s="11">
        <v>8.57</v>
      </c>
      <c r="H84" s="9">
        <v>365</v>
      </c>
      <c r="I84" s="11">
        <v>106.261</v>
      </c>
      <c r="J84" s="9">
        <v>179.03149999999999</v>
      </c>
      <c r="K84" s="11">
        <v>15.15</v>
      </c>
      <c r="L84" s="9">
        <v>122.55000000000001</v>
      </c>
      <c r="M84" s="11">
        <v>2.8955000000000002</v>
      </c>
      <c r="N84" s="11">
        <v>0.16950000000000001</v>
      </c>
      <c r="O84" s="16">
        <v>0.2744385416666667</v>
      </c>
      <c r="P84" s="12">
        <v>1.9900000000000001E-2</v>
      </c>
      <c r="Q84" s="12">
        <v>0.26600000000000001</v>
      </c>
      <c r="R84" s="12">
        <v>0.4325</v>
      </c>
      <c r="S84" s="12">
        <v>6.2850000000000003E-2</v>
      </c>
      <c r="T84" s="12">
        <v>8.150000000000001E-3</v>
      </c>
      <c r="U84" s="12">
        <v>1.1999999999999999E-3</v>
      </c>
      <c r="V84" s="12">
        <v>0.20569999999999999</v>
      </c>
      <c r="W84" s="12">
        <v>1.4499999999999999E-2</v>
      </c>
      <c r="X84" s="6">
        <v>89356.854940688878</v>
      </c>
      <c r="Y84" s="6">
        <v>29040.515967699597</v>
      </c>
    </row>
    <row r="85" spans="1:25" x14ac:dyDescent="0.25">
      <c r="A85" s="18" t="s">
        <v>108</v>
      </c>
      <c r="B85" s="9">
        <v>29</v>
      </c>
      <c r="C85" s="15">
        <f t="shared" si="1"/>
        <v>18.384722222222219</v>
      </c>
      <c r="D85" s="9">
        <v>8.125</v>
      </c>
      <c r="E85" s="11">
        <v>45.349999999999994</v>
      </c>
      <c r="F85" s="12">
        <v>569</v>
      </c>
      <c r="G85" s="11">
        <v>8.3500000000000014</v>
      </c>
      <c r="H85" s="9">
        <v>312</v>
      </c>
      <c r="I85" s="11">
        <v>110.70949999999999</v>
      </c>
      <c r="J85" s="9">
        <v>279.27449999999999</v>
      </c>
      <c r="K85" s="11">
        <v>16.930500000000002</v>
      </c>
      <c r="L85" s="9">
        <v>151.822</v>
      </c>
      <c r="M85" s="11">
        <v>2.2815000000000003</v>
      </c>
      <c r="N85" s="11">
        <v>0.19500000000000001</v>
      </c>
      <c r="O85" s="16">
        <v>0.21560416666666668</v>
      </c>
      <c r="P85" s="12">
        <v>4.2249999999999996E-2</v>
      </c>
      <c r="Q85" s="12">
        <v>0.84600000000000009</v>
      </c>
      <c r="R85" s="12">
        <v>1.4929999999999999</v>
      </c>
      <c r="S85" s="12">
        <v>0.14460000000000001</v>
      </c>
      <c r="T85" s="12">
        <v>2.4599999999999997E-2</v>
      </c>
      <c r="U85" s="12">
        <v>1.8500000000000001E-3</v>
      </c>
      <c r="V85" s="12">
        <v>0.48845000000000005</v>
      </c>
      <c r="W85" s="12">
        <v>2.1499999999999998E-2</v>
      </c>
      <c r="X85" s="6">
        <v>167285.43710439908</v>
      </c>
      <c r="Y85" s="6">
        <v>57364.520409982848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2021-03-18T19:46:54Z</dcterms:created>
  <dcterms:modified xsi:type="dcterms:W3CDTF">2021-04-01T01:29:42Z</dcterms:modified>
</cp:coreProperties>
</file>